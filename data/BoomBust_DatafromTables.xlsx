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4f5e485ed766aa2/Pictures/Documents/Career/Journal Publications/Manuscripts/Dissertation/boom-bust/data/"/>
    </mc:Choice>
  </mc:AlternateContent>
  <xr:revisionPtr revIDLastSave="3251" documentId="8_{70A43E18-57AA-40B9-A6AA-B8B1D80A3999}" xr6:coauthVersionLast="47" xr6:coauthVersionMax="47" xr10:uidLastSave="{EA5EAEE0-9834-43C7-8B73-CFCE69EBE3F3}"/>
  <bookViews>
    <workbookView xWindow="-28920" yWindow="-120" windowWidth="29040" windowHeight="15720" xr2:uid="{8025EA18-20DD-4AB1-8E18-97042F4F59FB}"/>
  </bookViews>
  <sheets>
    <sheet name="Sheet1" sheetId="1" r:id="rId1"/>
  </sheets>
  <definedNames>
    <definedName name="_xlnm._FilterDatabase" localSheetId="0" hidden="1">Sheet1!$A$1:$H$1076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0" i="1" l="1"/>
  <c r="D229" i="1"/>
  <c r="D228" i="1"/>
  <c r="D223" i="1"/>
  <c r="D205" i="1"/>
  <c r="D154" i="1"/>
  <c r="D54" i="1"/>
  <c r="D53" i="1"/>
  <c r="D32" i="1"/>
  <c r="D24" i="1"/>
  <c r="D3" i="1"/>
  <c r="D2" i="1"/>
</calcChain>
</file>

<file path=xl/sharedStrings.xml><?xml version="1.0" encoding="utf-8"?>
<sst xmlns="http://schemas.openxmlformats.org/spreadsheetml/2006/main" count="6976" uniqueCount="111">
  <si>
    <t>plot</t>
  </si>
  <si>
    <t>group</t>
  </si>
  <si>
    <t>id</t>
  </si>
  <si>
    <t>y</t>
  </si>
  <si>
    <t>x</t>
  </si>
  <si>
    <t>month</t>
  </si>
  <si>
    <t>y_variable</t>
  </si>
  <si>
    <t>x_variable</t>
  </si>
  <si>
    <t>166_Carbayoetal_BiologicalInvasions_2008_Table1_Notogynaphalliaernesti</t>
  </si>
  <si>
    <t>CPUE</t>
  </si>
  <si>
    <t>167_Carbayoetal_BiologicalInvasions_2008_Table1_Geoplanamulticolor</t>
  </si>
  <si>
    <t>168_Carbayoetal_BiologicalInvasions_2008_Table1_Geoplaninac1</t>
  </si>
  <si>
    <t>169_Carbayoetal_BiologicalInvasions_2008_Table1_Endeavouriaseptemlineata</t>
  </si>
  <si>
    <t>170_Carbayoetal_BiologicalInvasions_2008_Table1_Entireplume</t>
  </si>
  <si>
    <t>Entire plume</t>
  </si>
  <si>
    <t>171_Carbayoetal_BiologicalInvasions_2008_Table1_Canal</t>
  </si>
  <si>
    <t>Canal</t>
  </si>
  <si>
    <t>172_Cooling&amp;Hoffman_BiologicalInvasions_2015_Table1_Ga</t>
  </si>
  <si>
    <t>Ga</t>
  </si>
  <si>
    <t>RO</t>
  </si>
  <si>
    <t>173_Diedericetal_2005_Table1-North</t>
  </si>
  <si>
    <t>174_Diedericetal_2005_Table1-ListBasin</t>
  </si>
  <si>
    <t>175_Diedericetal_2005_Table1-South</t>
  </si>
  <si>
    <t>List Basin</t>
  </si>
  <si>
    <t>South</t>
  </si>
  <si>
    <t>176_Hurlbertetal_LakeandReservoirManagement_Table1-tilapia</t>
  </si>
  <si>
    <t>177_Hurlbertetal_LakeandReservoirManagement_Table1-corvina</t>
  </si>
  <si>
    <t>178_Hurlbertetal_LakeandReservoirManagement_Table1-sargo</t>
  </si>
  <si>
    <t>179_Hurlbertetal_LakeandReservoirManagement_Table1-bairdella</t>
  </si>
  <si>
    <t>Shore 2</t>
  </si>
  <si>
    <t>Shore 3</t>
  </si>
  <si>
    <t>Shore 4</t>
  </si>
  <si>
    <t>Shore 6</t>
  </si>
  <si>
    <t>Shore 8</t>
  </si>
  <si>
    <t>180_Kuriharaetal_BiologicalInvasions_2010-SuppTable</t>
  </si>
  <si>
    <t>Shore 13</t>
  </si>
  <si>
    <t>Shore 15</t>
  </si>
  <si>
    <t>Shore 16</t>
  </si>
  <si>
    <t>Shore 17</t>
  </si>
  <si>
    <t>Average</t>
  </si>
  <si>
    <t>DC</t>
  </si>
  <si>
    <t>GC</t>
  </si>
  <si>
    <t>LS</t>
  </si>
  <si>
    <t>FP</t>
  </si>
  <si>
    <t>P27</t>
  </si>
  <si>
    <t>SI</t>
  </si>
  <si>
    <t>Average_Uncont</t>
  </si>
  <si>
    <t>Average_cont</t>
  </si>
  <si>
    <t>181_McCallumetal_BiologicalInvasions_2014-Table1</t>
  </si>
  <si>
    <t>182_Wassonetal_BiologicalInvasions_2020_Table1</t>
  </si>
  <si>
    <t>1-HL</t>
  </si>
  <si>
    <t>2-AP</t>
  </si>
  <si>
    <t>3-AC</t>
  </si>
  <si>
    <t>4-BH</t>
  </si>
  <si>
    <t>5-WL</t>
  </si>
  <si>
    <t>6-SM</t>
  </si>
  <si>
    <t>7-JN</t>
  </si>
  <si>
    <t>8-JS</t>
  </si>
  <si>
    <t>183_Yerlietal_TurkishJoFaAS_2013_Table4_Sanderlucioperca</t>
  </si>
  <si>
    <t>184_Yerlietal_TurkishJoFaAS_2013_Table4_Carassiusgibelio</t>
  </si>
  <si>
    <t>185_Yerlietal_TurkishJoFaAS_2013_Table4_Tincatinca</t>
  </si>
  <si>
    <t>186_Yerlietal_TurkishJoFaAS_2013_Table4_Atherinaboyeri</t>
  </si>
  <si>
    <t>187_Scheffer_TheScientificMonthly_1951_Table1</t>
  </si>
  <si>
    <t>St. Paul Island</t>
  </si>
  <si>
    <t>St. George Island</t>
  </si>
  <si>
    <t>188_Klienetal_JournalofWildlifeManagement_1968_Table1</t>
  </si>
  <si>
    <t>St. Matthew Island</t>
  </si>
  <si>
    <t>Year</t>
  </si>
  <si>
    <t>Density (n/m^2)</t>
  </si>
  <si>
    <t>Density (n/ha)</t>
  </si>
  <si>
    <t>Harvest</t>
  </si>
  <si>
    <t>N</t>
  </si>
  <si>
    <t>Density (n/0.25m^2)</t>
  </si>
  <si>
    <t>Mon-Year</t>
  </si>
  <si>
    <t>353_Kraemeretal_NortheasternNaturalist_2007_Table2</t>
  </si>
  <si>
    <t>High Lake</t>
  </si>
  <si>
    <t>Little John Lake</t>
  </si>
  <si>
    <t>Little Star Lake</t>
  </si>
  <si>
    <t>Papoose Lake</t>
  </si>
  <si>
    <t>Plum Lake</t>
  </si>
  <si>
    <t>364_Larsonetal_EcologicalApplications_2023_Spider</t>
  </si>
  <si>
    <t>Spider Lake</t>
  </si>
  <si>
    <t>364_Larsonetal_EcologicalApplications_2023_Squirrel</t>
  </si>
  <si>
    <t>Squirrel Lake</t>
  </si>
  <si>
    <t>Presque Isle Lake</t>
  </si>
  <si>
    <t>365_Larsonetal_Ecology_2019&amp;EcologicalApplication_2023_HighLake</t>
  </si>
  <si>
    <t>365_Larsonetal_Ecology_2019&amp;EcologicalApplication_2023_LittleJohn</t>
  </si>
  <si>
    <t>365_Larsonetal_Ecology_2019&amp;EcologicalApplication_2023_LittleStar</t>
  </si>
  <si>
    <t>365_Larsonetal_Ecology_2019&amp;EcologicalApplication_2023_Papoose</t>
  </si>
  <si>
    <t>365_Larsonetal_Ecology_2019&amp;EcologicalApplication_2023_Plum</t>
  </si>
  <si>
    <t>365_Larsonetal_Ecology_2019&amp;EcologicalApplication_2023_PresqueIsle</t>
  </si>
  <si>
    <t>366_Larsonetal_Ecology_2019_Big</t>
  </si>
  <si>
    <t>Big Lake</t>
  </si>
  <si>
    <t>Birch Lake</t>
  </si>
  <si>
    <t>366_Larsonetal_Ecology_2019_Birch</t>
  </si>
  <si>
    <t>366_Larsonetal_Ecology_2019_Boulder</t>
  </si>
  <si>
    <t>Boulder Lake</t>
  </si>
  <si>
    <t>Clear Lake</t>
  </si>
  <si>
    <t>366_Larsonetal_Ecology_2019_Clear</t>
  </si>
  <si>
    <t>366_Larsonetal_Ecology_2019_Island</t>
  </si>
  <si>
    <t>Island Lake</t>
  </si>
  <si>
    <t>366_Larsonetal_Ecology_2019_SouthTurtle</t>
  </si>
  <si>
    <t>South Turtle Lake</t>
  </si>
  <si>
    <t>Trout Lake</t>
  </si>
  <si>
    <t>366_Larsonetal_Ecology_2019_Trout</t>
  </si>
  <si>
    <t>Van Vliet Lake</t>
  </si>
  <si>
    <t>366_Larsonetal_Ecology_2019_VanVliet</t>
  </si>
  <si>
    <t>366_Larsonetal_Ecology_2019_WhiteSand</t>
  </si>
  <si>
    <t>White Sand Lake</t>
  </si>
  <si>
    <t>366_Larsonetal_Ecology_2019_WildRice</t>
  </si>
  <si>
    <t>Wild Rice Lake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</si>
</sst>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07EED-BDE6-4E7B-8223-CBB56B106F2E}">
  <dimension ref="A1:H1858"/>
  <sheetViews>
    <sheetView tabSelected="1" zoomScaleNormal="100" workbookViewId="0">
      <pane ySplit="1" topLeftCell="A1348" activePane="bottomLeft" state="frozen"/>
      <selection pane="bottomLeft" activeCell="C1330" sqref="C1330:C1375"/>
    </sheetView>
  </sheetViews>
  <sheetFormatPr defaultRowHeight="14.4" x14ac:dyDescent="0.3"/>
  <cols>
    <col min="1" max="1" width="27.44140625" customWidth="1"/>
    <col min="4" max="4" width="12" bestFit="1" customWidth="1"/>
    <col min="7" max="7" width="14.109375" customWidth="1"/>
    <col min="10" max="10" width="10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1</v>
      </c>
      <c r="C2" s="1"/>
      <c r="D2">
        <f>53/5</f>
        <v>10.6</v>
      </c>
      <c r="E2">
        <v>1955</v>
      </c>
      <c r="G2" t="s">
        <v>9</v>
      </c>
      <c r="H2" t="s">
        <v>67</v>
      </c>
    </row>
    <row r="3" spans="1:8" x14ac:dyDescent="0.3">
      <c r="A3" t="s">
        <v>8</v>
      </c>
      <c r="B3">
        <v>1</v>
      </c>
      <c r="C3" s="1"/>
      <c r="D3">
        <f>12/3</f>
        <v>4</v>
      </c>
      <c r="E3">
        <v>1956</v>
      </c>
      <c r="G3" t="s">
        <v>9</v>
      </c>
      <c r="H3" t="s">
        <v>67</v>
      </c>
    </row>
    <row r="4" spans="1:8" x14ac:dyDescent="0.3">
      <c r="A4" t="s">
        <v>8</v>
      </c>
      <c r="B4">
        <v>1</v>
      </c>
      <c r="C4" s="1"/>
      <c r="E4">
        <v>1957</v>
      </c>
      <c r="G4" t="s">
        <v>9</v>
      </c>
      <c r="H4" t="s">
        <v>67</v>
      </c>
    </row>
    <row r="5" spans="1:8" x14ac:dyDescent="0.3">
      <c r="A5" t="s">
        <v>8</v>
      </c>
      <c r="B5">
        <v>1</v>
      </c>
      <c r="C5" s="1"/>
      <c r="D5">
        <v>5</v>
      </c>
      <c r="E5">
        <v>1958</v>
      </c>
      <c r="G5" t="s">
        <v>9</v>
      </c>
      <c r="H5" t="s">
        <v>67</v>
      </c>
    </row>
    <row r="6" spans="1:8" x14ac:dyDescent="0.3">
      <c r="A6" t="s">
        <v>8</v>
      </c>
      <c r="B6">
        <v>1</v>
      </c>
      <c r="C6" s="1"/>
      <c r="E6">
        <v>1959</v>
      </c>
      <c r="G6" t="s">
        <v>9</v>
      </c>
      <c r="H6" t="s">
        <v>67</v>
      </c>
    </row>
    <row r="7" spans="1:8" x14ac:dyDescent="0.3">
      <c r="A7" t="s">
        <v>8</v>
      </c>
      <c r="B7">
        <v>1</v>
      </c>
      <c r="C7" s="1"/>
      <c r="E7">
        <v>1960</v>
      </c>
      <c r="G7" t="s">
        <v>9</v>
      </c>
      <c r="H7" t="s">
        <v>67</v>
      </c>
    </row>
    <row r="8" spans="1:8" x14ac:dyDescent="0.3">
      <c r="A8" t="s">
        <v>8</v>
      </c>
      <c r="B8">
        <v>1</v>
      </c>
      <c r="C8" s="1"/>
      <c r="D8">
        <v>0</v>
      </c>
      <c r="E8">
        <v>1961</v>
      </c>
      <c r="G8" t="s">
        <v>9</v>
      </c>
      <c r="H8" t="s">
        <v>67</v>
      </c>
    </row>
    <row r="9" spans="1:8" x14ac:dyDescent="0.3">
      <c r="A9" t="s">
        <v>8</v>
      </c>
      <c r="B9">
        <v>1</v>
      </c>
      <c r="C9" s="1"/>
      <c r="D9">
        <v>3</v>
      </c>
      <c r="E9">
        <v>1962</v>
      </c>
      <c r="G9" t="s">
        <v>9</v>
      </c>
      <c r="H9" t="s">
        <v>67</v>
      </c>
    </row>
    <row r="10" spans="1:8" x14ac:dyDescent="0.3">
      <c r="A10" t="s">
        <v>8</v>
      </c>
      <c r="B10">
        <v>1</v>
      </c>
      <c r="C10" s="1"/>
      <c r="D10">
        <v>1</v>
      </c>
      <c r="E10">
        <v>1963</v>
      </c>
      <c r="G10" t="s">
        <v>9</v>
      </c>
      <c r="H10" t="s">
        <v>67</v>
      </c>
    </row>
    <row r="11" spans="1:8" x14ac:dyDescent="0.3">
      <c r="A11" t="s">
        <v>8</v>
      </c>
      <c r="B11">
        <v>1</v>
      </c>
      <c r="C11" s="1"/>
      <c r="E11">
        <v>1964</v>
      </c>
      <c r="G11" t="s">
        <v>9</v>
      </c>
      <c r="H11" t="s">
        <v>67</v>
      </c>
    </row>
    <row r="12" spans="1:8" x14ac:dyDescent="0.3">
      <c r="A12" t="s">
        <v>8</v>
      </c>
      <c r="B12">
        <v>1</v>
      </c>
      <c r="C12" s="1"/>
      <c r="D12">
        <v>0</v>
      </c>
      <c r="E12">
        <v>1965</v>
      </c>
      <c r="G12" t="s">
        <v>9</v>
      </c>
      <c r="H12" t="s">
        <v>67</v>
      </c>
    </row>
    <row r="13" spans="1:8" x14ac:dyDescent="0.3">
      <c r="A13" t="s">
        <v>8</v>
      </c>
      <c r="B13">
        <v>1</v>
      </c>
      <c r="C13" s="1"/>
      <c r="E13">
        <v>1966</v>
      </c>
      <c r="G13" t="s">
        <v>9</v>
      </c>
      <c r="H13" t="s">
        <v>67</v>
      </c>
    </row>
    <row r="14" spans="1:8" x14ac:dyDescent="0.3">
      <c r="A14" t="s">
        <v>8</v>
      </c>
      <c r="B14">
        <v>1</v>
      </c>
      <c r="C14" s="1"/>
      <c r="E14">
        <v>1967</v>
      </c>
      <c r="G14" t="s">
        <v>9</v>
      </c>
      <c r="H14" t="s">
        <v>67</v>
      </c>
    </row>
    <row r="15" spans="1:8" x14ac:dyDescent="0.3">
      <c r="A15" t="s">
        <v>8</v>
      </c>
      <c r="B15">
        <v>1</v>
      </c>
      <c r="C15" s="1"/>
      <c r="E15">
        <v>1968</v>
      </c>
      <c r="G15" t="s">
        <v>9</v>
      </c>
      <c r="H15" t="s">
        <v>67</v>
      </c>
    </row>
    <row r="16" spans="1:8" x14ac:dyDescent="0.3">
      <c r="A16" t="s">
        <v>8</v>
      </c>
      <c r="B16">
        <v>1</v>
      </c>
      <c r="C16" s="1"/>
      <c r="D16">
        <v>1</v>
      </c>
      <c r="E16">
        <v>1969</v>
      </c>
      <c r="G16" t="s">
        <v>9</v>
      </c>
      <c r="H16" t="s">
        <v>67</v>
      </c>
    </row>
    <row r="17" spans="1:8" x14ac:dyDescent="0.3">
      <c r="A17" t="s">
        <v>8</v>
      </c>
      <c r="B17">
        <v>1</v>
      </c>
      <c r="C17" s="1"/>
      <c r="E17">
        <v>1970</v>
      </c>
      <c r="G17" t="s">
        <v>9</v>
      </c>
      <c r="H17" t="s">
        <v>67</v>
      </c>
    </row>
    <row r="18" spans="1:8" x14ac:dyDescent="0.3">
      <c r="A18" t="s">
        <v>8</v>
      </c>
      <c r="B18">
        <v>1</v>
      </c>
      <c r="C18" s="1"/>
      <c r="D18">
        <v>1</v>
      </c>
      <c r="E18">
        <v>1971</v>
      </c>
      <c r="G18" t="s">
        <v>9</v>
      </c>
      <c r="H18" t="s">
        <v>67</v>
      </c>
    </row>
    <row r="19" spans="1:8" x14ac:dyDescent="0.3">
      <c r="A19" t="s">
        <v>8</v>
      </c>
      <c r="B19">
        <v>1</v>
      </c>
      <c r="C19" s="1"/>
      <c r="D19">
        <v>0</v>
      </c>
      <c r="E19">
        <v>1972</v>
      </c>
      <c r="G19" t="s">
        <v>9</v>
      </c>
      <c r="H19" t="s">
        <v>67</v>
      </c>
    </row>
    <row r="20" spans="1:8" x14ac:dyDescent="0.3">
      <c r="A20" t="s">
        <v>8</v>
      </c>
      <c r="B20">
        <v>1</v>
      </c>
      <c r="C20" s="1"/>
      <c r="E20">
        <v>1973</v>
      </c>
      <c r="G20" t="s">
        <v>9</v>
      </c>
      <c r="H20" t="s">
        <v>67</v>
      </c>
    </row>
    <row r="21" spans="1:8" x14ac:dyDescent="0.3">
      <c r="A21" t="s">
        <v>8</v>
      </c>
      <c r="B21">
        <v>1</v>
      </c>
      <c r="C21" s="1"/>
      <c r="E21">
        <v>1974</v>
      </c>
      <c r="G21" t="s">
        <v>9</v>
      </c>
      <c r="H21" t="s">
        <v>67</v>
      </c>
    </row>
    <row r="22" spans="1:8" x14ac:dyDescent="0.3">
      <c r="A22" t="s">
        <v>8</v>
      </c>
      <c r="B22">
        <v>1</v>
      </c>
      <c r="C22" s="1"/>
      <c r="E22">
        <v>1975</v>
      </c>
      <c r="G22" t="s">
        <v>9</v>
      </c>
      <c r="H22" t="s">
        <v>67</v>
      </c>
    </row>
    <row r="23" spans="1:8" x14ac:dyDescent="0.3">
      <c r="A23" t="s">
        <v>8</v>
      </c>
      <c r="B23">
        <v>1</v>
      </c>
      <c r="C23" s="1"/>
      <c r="D23">
        <v>0</v>
      </c>
      <c r="E23">
        <v>1976</v>
      </c>
      <c r="G23" t="s">
        <v>9</v>
      </c>
      <c r="H23" t="s">
        <v>67</v>
      </c>
    </row>
    <row r="24" spans="1:8" x14ac:dyDescent="0.3">
      <c r="A24" t="s">
        <v>8</v>
      </c>
      <c r="B24">
        <v>1</v>
      </c>
      <c r="C24" s="1"/>
      <c r="D24">
        <f>1/11</f>
        <v>9.0909090909090912E-2</v>
      </c>
      <c r="E24">
        <v>1977</v>
      </c>
      <c r="G24" t="s">
        <v>9</v>
      </c>
      <c r="H24" t="s">
        <v>67</v>
      </c>
    </row>
    <row r="25" spans="1:8" x14ac:dyDescent="0.3">
      <c r="A25" t="s">
        <v>8</v>
      </c>
      <c r="B25">
        <v>1</v>
      </c>
      <c r="C25" s="1"/>
      <c r="E25">
        <v>1978</v>
      </c>
      <c r="G25" t="s">
        <v>9</v>
      </c>
      <c r="H25" t="s">
        <v>67</v>
      </c>
    </row>
    <row r="26" spans="1:8" x14ac:dyDescent="0.3">
      <c r="A26" t="s">
        <v>8</v>
      </c>
      <c r="B26">
        <v>1</v>
      </c>
      <c r="C26" s="1"/>
      <c r="E26">
        <v>1979</v>
      </c>
      <c r="G26" t="s">
        <v>9</v>
      </c>
      <c r="H26" t="s">
        <v>67</v>
      </c>
    </row>
    <row r="27" spans="1:8" x14ac:dyDescent="0.3">
      <c r="A27" t="s">
        <v>8</v>
      </c>
      <c r="B27">
        <v>1</v>
      </c>
      <c r="C27" s="1"/>
      <c r="D27">
        <v>0</v>
      </c>
      <c r="E27">
        <v>1980</v>
      </c>
      <c r="G27" t="s">
        <v>9</v>
      </c>
      <c r="H27" t="s">
        <v>67</v>
      </c>
    </row>
    <row r="28" spans="1:8" x14ac:dyDescent="0.3">
      <c r="A28" t="s">
        <v>8</v>
      </c>
      <c r="B28">
        <v>1</v>
      </c>
      <c r="C28" s="1"/>
      <c r="E28">
        <v>1981</v>
      </c>
      <c r="G28" t="s">
        <v>9</v>
      </c>
      <c r="H28" t="s">
        <v>67</v>
      </c>
    </row>
    <row r="29" spans="1:8" x14ac:dyDescent="0.3">
      <c r="A29" t="s">
        <v>8</v>
      </c>
      <c r="B29">
        <v>1</v>
      </c>
      <c r="C29" s="1"/>
      <c r="E29">
        <v>1982</v>
      </c>
      <c r="G29" t="s">
        <v>9</v>
      </c>
      <c r="H29" t="s">
        <v>67</v>
      </c>
    </row>
    <row r="30" spans="1:8" x14ac:dyDescent="0.3">
      <c r="A30" t="s">
        <v>8</v>
      </c>
      <c r="B30">
        <v>1</v>
      </c>
      <c r="C30" s="1"/>
      <c r="E30">
        <v>1983</v>
      </c>
      <c r="G30" t="s">
        <v>9</v>
      </c>
      <c r="H30" t="s">
        <v>67</v>
      </c>
    </row>
    <row r="31" spans="1:8" x14ac:dyDescent="0.3">
      <c r="A31" t="s">
        <v>8</v>
      </c>
      <c r="B31">
        <v>1</v>
      </c>
      <c r="C31" s="1"/>
      <c r="E31">
        <v>1984</v>
      </c>
      <c r="G31" t="s">
        <v>9</v>
      </c>
      <c r="H31" t="s">
        <v>67</v>
      </c>
    </row>
    <row r="32" spans="1:8" x14ac:dyDescent="0.3">
      <c r="A32" t="s">
        <v>8</v>
      </c>
      <c r="B32">
        <v>1</v>
      </c>
      <c r="C32" s="1"/>
      <c r="D32">
        <f>1/2</f>
        <v>0.5</v>
      </c>
      <c r="E32">
        <v>1985</v>
      </c>
      <c r="G32" t="s">
        <v>9</v>
      </c>
      <c r="H32" t="s">
        <v>67</v>
      </c>
    </row>
    <row r="33" spans="1:8" x14ac:dyDescent="0.3">
      <c r="A33" t="s">
        <v>8</v>
      </c>
      <c r="B33">
        <v>1</v>
      </c>
      <c r="C33" s="1"/>
      <c r="D33">
        <v>3</v>
      </c>
      <c r="E33">
        <v>1986</v>
      </c>
      <c r="G33" t="s">
        <v>9</v>
      </c>
      <c r="H33" t="s">
        <v>67</v>
      </c>
    </row>
    <row r="34" spans="1:8" x14ac:dyDescent="0.3">
      <c r="A34" t="s">
        <v>8</v>
      </c>
      <c r="B34">
        <v>1</v>
      </c>
      <c r="C34" s="1"/>
      <c r="D34">
        <v>0</v>
      </c>
      <c r="E34">
        <v>1987</v>
      </c>
      <c r="G34" t="s">
        <v>9</v>
      </c>
      <c r="H34" t="s">
        <v>67</v>
      </c>
    </row>
    <row r="35" spans="1:8" x14ac:dyDescent="0.3">
      <c r="A35" t="s">
        <v>8</v>
      </c>
      <c r="B35">
        <v>1</v>
      </c>
      <c r="C35" s="1"/>
      <c r="E35">
        <v>1988</v>
      </c>
      <c r="G35" t="s">
        <v>9</v>
      </c>
      <c r="H35" t="s">
        <v>67</v>
      </c>
    </row>
    <row r="36" spans="1:8" x14ac:dyDescent="0.3">
      <c r="A36" t="s">
        <v>8</v>
      </c>
      <c r="B36">
        <v>1</v>
      </c>
      <c r="C36" s="1"/>
      <c r="D36">
        <v>0</v>
      </c>
      <c r="E36">
        <v>1989</v>
      </c>
      <c r="G36" t="s">
        <v>9</v>
      </c>
      <c r="H36" t="s">
        <v>67</v>
      </c>
    </row>
    <row r="37" spans="1:8" x14ac:dyDescent="0.3">
      <c r="A37" t="s">
        <v>8</v>
      </c>
      <c r="B37">
        <v>1</v>
      </c>
      <c r="C37" s="1"/>
      <c r="E37">
        <v>1990</v>
      </c>
      <c r="G37" t="s">
        <v>9</v>
      </c>
      <c r="H37" t="s">
        <v>67</v>
      </c>
    </row>
    <row r="38" spans="1:8" x14ac:dyDescent="0.3">
      <c r="A38" t="s">
        <v>8</v>
      </c>
      <c r="B38">
        <v>1</v>
      </c>
      <c r="C38" s="1"/>
      <c r="E38">
        <v>1991</v>
      </c>
      <c r="G38" t="s">
        <v>9</v>
      </c>
      <c r="H38" t="s">
        <v>67</v>
      </c>
    </row>
    <row r="39" spans="1:8" x14ac:dyDescent="0.3">
      <c r="A39" t="s">
        <v>8</v>
      </c>
      <c r="B39">
        <v>1</v>
      </c>
      <c r="C39" s="1"/>
      <c r="D39">
        <v>1</v>
      </c>
      <c r="E39">
        <v>1992</v>
      </c>
      <c r="G39" t="s">
        <v>9</v>
      </c>
      <c r="H39" t="s">
        <v>67</v>
      </c>
    </row>
    <row r="40" spans="1:8" x14ac:dyDescent="0.3">
      <c r="A40" t="s">
        <v>8</v>
      </c>
      <c r="B40">
        <v>1</v>
      </c>
      <c r="C40" s="1"/>
      <c r="E40">
        <v>1993</v>
      </c>
      <c r="G40" t="s">
        <v>9</v>
      </c>
      <c r="H40" t="s">
        <v>67</v>
      </c>
    </row>
    <row r="41" spans="1:8" x14ac:dyDescent="0.3">
      <c r="A41" t="s">
        <v>8</v>
      </c>
      <c r="B41">
        <v>1</v>
      </c>
      <c r="C41" s="1"/>
      <c r="E41">
        <v>1994</v>
      </c>
      <c r="G41" t="s">
        <v>9</v>
      </c>
      <c r="H41" t="s">
        <v>67</v>
      </c>
    </row>
    <row r="42" spans="1:8" x14ac:dyDescent="0.3">
      <c r="A42" t="s">
        <v>8</v>
      </c>
      <c r="B42">
        <v>1</v>
      </c>
      <c r="C42" s="1"/>
      <c r="E42">
        <v>1995</v>
      </c>
      <c r="G42" t="s">
        <v>9</v>
      </c>
      <c r="H42" t="s">
        <v>67</v>
      </c>
    </row>
    <row r="43" spans="1:8" x14ac:dyDescent="0.3">
      <c r="A43" t="s">
        <v>8</v>
      </c>
      <c r="B43">
        <v>1</v>
      </c>
      <c r="C43" s="1"/>
      <c r="E43">
        <v>1996</v>
      </c>
      <c r="G43" t="s">
        <v>9</v>
      </c>
      <c r="H43" t="s">
        <v>67</v>
      </c>
    </row>
    <row r="44" spans="1:8" x14ac:dyDescent="0.3">
      <c r="A44" t="s">
        <v>8</v>
      </c>
      <c r="B44">
        <v>1</v>
      </c>
      <c r="C44" s="1"/>
      <c r="E44">
        <v>1997</v>
      </c>
      <c r="G44" t="s">
        <v>9</v>
      </c>
      <c r="H44" t="s">
        <v>67</v>
      </c>
    </row>
    <row r="45" spans="1:8" x14ac:dyDescent="0.3">
      <c r="A45" t="s">
        <v>8</v>
      </c>
      <c r="B45">
        <v>1</v>
      </c>
      <c r="C45" s="1"/>
      <c r="E45">
        <v>1998</v>
      </c>
      <c r="G45" t="s">
        <v>9</v>
      </c>
      <c r="H45" t="s">
        <v>67</v>
      </c>
    </row>
    <row r="46" spans="1:8" x14ac:dyDescent="0.3">
      <c r="A46" t="s">
        <v>8</v>
      </c>
      <c r="B46">
        <v>1</v>
      </c>
      <c r="C46" s="1"/>
      <c r="E46">
        <v>1999</v>
      </c>
      <c r="G46" t="s">
        <v>9</v>
      </c>
      <c r="H46" t="s">
        <v>67</v>
      </c>
    </row>
    <row r="47" spans="1:8" x14ac:dyDescent="0.3">
      <c r="A47" t="s">
        <v>8</v>
      </c>
      <c r="B47">
        <v>1</v>
      </c>
      <c r="C47" s="1"/>
      <c r="E47">
        <v>2000</v>
      </c>
      <c r="G47" t="s">
        <v>9</v>
      </c>
      <c r="H47" t="s">
        <v>67</v>
      </c>
    </row>
    <row r="48" spans="1:8" x14ac:dyDescent="0.3">
      <c r="A48" t="s">
        <v>8</v>
      </c>
      <c r="B48">
        <v>1</v>
      </c>
      <c r="C48" s="1"/>
      <c r="E48">
        <v>2001</v>
      </c>
      <c r="G48" t="s">
        <v>9</v>
      </c>
      <c r="H48" t="s">
        <v>67</v>
      </c>
    </row>
    <row r="49" spans="1:8" x14ac:dyDescent="0.3">
      <c r="A49" t="s">
        <v>8</v>
      </c>
      <c r="B49">
        <v>1</v>
      </c>
      <c r="C49" s="1"/>
      <c r="E49">
        <v>2002</v>
      </c>
      <c r="G49" t="s">
        <v>9</v>
      </c>
      <c r="H49" t="s">
        <v>67</v>
      </c>
    </row>
    <row r="50" spans="1:8" x14ac:dyDescent="0.3">
      <c r="A50" t="s">
        <v>8</v>
      </c>
      <c r="B50">
        <v>1</v>
      </c>
      <c r="C50" s="1"/>
      <c r="E50">
        <v>2003</v>
      </c>
      <c r="G50" t="s">
        <v>9</v>
      </c>
      <c r="H50" t="s">
        <v>67</v>
      </c>
    </row>
    <row r="51" spans="1:8" x14ac:dyDescent="0.3">
      <c r="A51" t="s">
        <v>8</v>
      </c>
      <c r="B51">
        <v>1</v>
      </c>
      <c r="C51" s="1"/>
      <c r="E51">
        <v>2004</v>
      </c>
      <c r="G51" t="s">
        <v>9</v>
      </c>
      <c r="H51" t="s">
        <v>67</v>
      </c>
    </row>
    <row r="52" spans="1:8" x14ac:dyDescent="0.3">
      <c r="A52" t="s">
        <v>8</v>
      </c>
      <c r="B52">
        <v>1</v>
      </c>
      <c r="C52" s="1"/>
      <c r="D52">
        <v>0</v>
      </c>
      <c r="E52">
        <v>2005</v>
      </c>
      <c r="G52" t="s">
        <v>9</v>
      </c>
      <c r="H52" t="s">
        <v>67</v>
      </c>
    </row>
    <row r="53" spans="1:8" x14ac:dyDescent="0.3">
      <c r="A53" t="s">
        <v>10</v>
      </c>
      <c r="B53">
        <v>1</v>
      </c>
      <c r="C53" s="1"/>
      <c r="D53">
        <f>23/5</f>
        <v>4.5999999999999996</v>
      </c>
      <c r="E53">
        <v>1955</v>
      </c>
      <c r="G53" t="s">
        <v>9</v>
      </c>
      <c r="H53" t="s">
        <v>67</v>
      </c>
    </row>
    <row r="54" spans="1:8" x14ac:dyDescent="0.3">
      <c r="A54" t="s">
        <v>10</v>
      </c>
      <c r="B54">
        <v>1</v>
      </c>
      <c r="C54" s="1"/>
      <c r="D54">
        <f>10/3</f>
        <v>3.3333333333333335</v>
      </c>
      <c r="E54">
        <v>1956</v>
      </c>
      <c r="G54" t="s">
        <v>9</v>
      </c>
      <c r="H54" t="s">
        <v>67</v>
      </c>
    </row>
    <row r="55" spans="1:8" x14ac:dyDescent="0.3">
      <c r="A55" t="s">
        <v>10</v>
      </c>
      <c r="B55">
        <v>1</v>
      </c>
      <c r="C55" s="1"/>
      <c r="E55">
        <v>1957</v>
      </c>
      <c r="G55" t="s">
        <v>9</v>
      </c>
      <c r="H55" t="s">
        <v>67</v>
      </c>
    </row>
    <row r="56" spans="1:8" x14ac:dyDescent="0.3">
      <c r="A56" t="s">
        <v>10</v>
      </c>
      <c r="B56">
        <v>1</v>
      </c>
      <c r="C56" s="1"/>
      <c r="D56">
        <v>11</v>
      </c>
      <c r="E56">
        <v>1958</v>
      </c>
      <c r="G56" t="s">
        <v>9</v>
      </c>
      <c r="H56" t="s">
        <v>67</v>
      </c>
    </row>
    <row r="57" spans="1:8" x14ac:dyDescent="0.3">
      <c r="A57" t="s">
        <v>10</v>
      </c>
      <c r="B57">
        <v>1</v>
      </c>
      <c r="C57" s="1"/>
      <c r="E57">
        <v>1959</v>
      </c>
      <c r="G57" t="s">
        <v>9</v>
      </c>
      <c r="H57" t="s">
        <v>67</v>
      </c>
    </row>
    <row r="58" spans="1:8" x14ac:dyDescent="0.3">
      <c r="A58" t="s">
        <v>10</v>
      </c>
      <c r="B58">
        <v>1</v>
      </c>
      <c r="C58" s="1"/>
      <c r="E58">
        <v>1960</v>
      </c>
      <c r="G58" t="s">
        <v>9</v>
      </c>
      <c r="H58" t="s">
        <v>67</v>
      </c>
    </row>
    <row r="59" spans="1:8" x14ac:dyDescent="0.3">
      <c r="A59" t="s">
        <v>10</v>
      </c>
      <c r="B59">
        <v>1</v>
      </c>
      <c r="C59" s="1"/>
      <c r="D59">
        <v>0</v>
      </c>
      <c r="E59">
        <v>1961</v>
      </c>
      <c r="G59" t="s">
        <v>9</v>
      </c>
      <c r="H59" t="s">
        <v>67</v>
      </c>
    </row>
    <row r="60" spans="1:8" x14ac:dyDescent="0.3">
      <c r="A60" t="s">
        <v>10</v>
      </c>
      <c r="B60">
        <v>1</v>
      </c>
      <c r="C60" s="1"/>
      <c r="D60">
        <v>0</v>
      </c>
      <c r="E60">
        <v>1962</v>
      </c>
      <c r="G60" t="s">
        <v>9</v>
      </c>
      <c r="H60" t="s">
        <v>67</v>
      </c>
    </row>
    <row r="61" spans="1:8" x14ac:dyDescent="0.3">
      <c r="A61" t="s">
        <v>10</v>
      </c>
      <c r="B61">
        <v>1</v>
      </c>
      <c r="C61" s="1"/>
      <c r="D61">
        <v>1</v>
      </c>
      <c r="E61">
        <v>1963</v>
      </c>
      <c r="G61" t="s">
        <v>9</v>
      </c>
      <c r="H61" t="s">
        <v>67</v>
      </c>
    </row>
    <row r="62" spans="1:8" x14ac:dyDescent="0.3">
      <c r="A62" t="s">
        <v>10</v>
      </c>
      <c r="B62">
        <v>1</v>
      </c>
      <c r="C62" s="1"/>
      <c r="E62">
        <v>1964</v>
      </c>
      <c r="G62" t="s">
        <v>9</v>
      </c>
      <c r="H62" t="s">
        <v>67</v>
      </c>
    </row>
    <row r="63" spans="1:8" x14ac:dyDescent="0.3">
      <c r="A63" t="s">
        <v>10</v>
      </c>
      <c r="B63">
        <v>1</v>
      </c>
      <c r="C63" s="1"/>
      <c r="D63">
        <v>9</v>
      </c>
      <c r="E63">
        <v>1965</v>
      </c>
      <c r="G63" t="s">
        <v>9</v>
      </c>
      <c r="H63" t="s">
        <v>67</v>
      </c>
    </row>
    <row r="64" spans="1:8" x14ac:dyDescent="0.3">
      <c r="A64" t="s">
        <v>10</v>
      </c>
      <c r="B64">
        <v>1</v>
      </c>
      <c r="C64" s="1"/>
      <c r="E64">
        <v>1966</v>
      </c>
      <c r="G64" t="s">
        <v>9</v>
      </c>
      <c r="H64" t="s">
        <v>67</v>
      </c>
    </row>
    <row r="65" spans="1:8" x14ac:dyDescent="0.3">
      <c r="A65" t="s">
        <v>10</v>
      </c>
      <c r="B65">
        <v>1</v>
      </c>
      <c r="C65" s="1"/>
      <c r="E65">
        <v>1967</v>
      </c>
      <c r="G65" t="s">
        <v>9</v>
      </c>
      <c r="H65" t="s">
        <v>67</v>
      </c>
    </row>
    <row r="66" spans="1:8" x14ac:dyDescent="0.3">
      <c r="A66" t="s">
        <v>10</v>
      </c>
      <c r="B66">
        <v>1</v>
      </c>
      <c r="C66" s="1"/>
      <c r="E66">
        <v>1968</v>
      </c>
      <c r="G66" t="s">
        <v>9</v>
      </c>
      <c r="H66" t="s">
        <v>67</v>
      </c>
    </row>
    <row r="67" spans="1:8" x14ac:dyDescent="0.3">
      <c r="A67" t="s">
        <v>10</v>
      </c>
      <c r="B67">
        <v>1</v>
      </c>
      <c r="C67" s="1"/>
      <c r="D67">
        <v>0</v>
      </c>
      <c r="E67">
        <v>1969</v>
      </c>
      <c r="G67" t="s">
        <v>9</v>
      </c>
      <c r="H67" t="s">
        <v>67</v>
      </c>
    </row>
    <row r="68" spans="1:8" x14ac:dyDescent="0.3">
      <c r="A68" t="s">
        <v>10</v>
      </c>
      <c r="B68">
        <v>1</v>
      </c>
      <c r="C68" s="1"/>
      <c r="E68">
        <v>1970</v>
      </c>
      <c r="G68" t="s">
        <v>9</v>
      </c>
      <c r="H68" t="s">
        <v>67</v>
      </c>
    </row>
    <row r="69" spans="1:8" x14ac:dyDescent="0.3">
      <c r="A69" t="s">
        <v>10</v>
      </c>
      <c r="B69">
        <v>1</v>
      </c>
      <c r="C69" s="1"/>
      <c r="D69">
        <v>0</v>
      </c>
      <c r="E69">
        <v>1971</v>
      </c>
      <c r="G69" t="s">
        <v>9</v>
      </c>
      <c r="H69" t="s">
        <v>67</v>
      </c>
    </row>
    <row r="70" spans="1:8" x14ac:dyDescent="0.3">
      <c r="A70" t="s">
        <v>10</v>
      </c>
      <c r="B70">
        <v>1</v>
      </c>
      <c r="C70" s="1"/>
      <c r="D70">
        <v>0</v>
      </c>
      <c r="E70">
        <v>1972</v>
      </c>
      <c r="G70" t="s">
        <v>9</v>
      </c>
      <c r="H70" t="s">
        <v>67</v>
      </c>
    </row>
    <row r="71" spans="1:8" x14ac:dyDescent="0.3">
      <c r="A71" t="s">
        <v>10</v>
      </c>
      <c r="B71">
        <v>1</v>
      </c>
      <c r="C71" s="1"/>
      <c r="E71">
        <v>1973</v>
      </c>
      <c r="G71" t="s">
        <v>9</v>
      </c>
      <c r="H71" t="s">
        <v>67</v>
      </c>
    </row>
    <row r="72" spans="1:8" x14ac:dyDescent="0.3">
      <c r="A72" t="s">
        <v>10</v>
      </c>
      <c r="B72">
        <v>1</v>
      </c>
      <c r="C72" s="1"/>
      <c r="E72">
        <v>1974</v>
      </c>
      <c r="G72" t="s">
        <v>9</v>
      </c>
      <c r="H72" t="s">
        <v>67</v>
      </c>
    </row>
    <row r="73" spans="1:8" x14ac:dyDescent="0.3">
      <c r="A73" t="s">
        <v>10</v>
      </c>
      <c r="B73">
        <v>1</v>
      </c>
      <c r="C73" s="1"/>
      <c r="E73">
        <v>1975</v>
      </c>
      <c r="G73" t="s">
        <v>9</v>
      </c>
      <c r="H73" t="s">
        <v>67</v>
      </c>
    </row>
    <row r="74" spans="1:8" x14ac:dyDescent="0.3">
      <c r="A74" t="s">
        <v>10</v>
      </c>
      <c r="B74">
        <v>1</v>
      </c>
      <c r="C74" s="1"/>
      <c r="D74">
        <v>0.5</v>
      </c>
      <c r="E74">
        <v>1976</v>
      </c>
      <c r="G74" t="s">
        <v>9</v>
      </c>
      <c r="H74" t="s">
        <v>67</v>
      </c>
    </row>
    <row r="75" spans="1:8" x14ac:dyDescent="0.3">
      <c r="A75" t="s">
        <v>10</v>
      </c>
      <c r="B75">
        <v>1</v>
      </c>
      <c r="C75" s="1"/>
      <c r="D75">
        <v>0</v>
      </c>
      <c r="E75">
        <v>1977</v>
      </c>
      <c r="G75" t="s">
        <v>9</v>
      </c>
      <c r="H75" t="s">
        <v>67</v>
      </c>
    </row>
    <row r="76" spans="1:8" x14ac:dyDescent="0.3">
      <c r="A76" t="s">
        <v>10</v>
      </c>
      <c r="B76">
        <v>1</v>
      </c>
      <c r="C76" s="1"/>
      <c r="E76">
        <v>1978</v>
      </c>
      <c r="G76" t="s">
        <v>9</v>
      </c>
      <c r="H76" t="s">
        <v>67</v>
      </c>
    </row>
    <row r="77" spans="1:8" x14ac:dyDescent="0.3">
      <c r="A77" t="s">
        <v>10</v>
      </c>
      <c r="B77">
        <v>1</v>
      </c>
      <c r="C77" s="1"/>
      <c r="E77">
        <v>1979</v>
      </c>
      <c r="G77" t="s">
        <v>9</v>
      </c>
      <c r="H77" t="s">
        <v>67</v>
      </c>
    </row>
    <row r="78" spans="1:8" x14ac:dyDescent="0.3">
      <c r="A78" t="s">
        <v>10</v>
      </c>
      <c r="B78">
        <v>1</v>
      </c>
      <c r="C78" s="1"/>
      <c r="D78">
        <v>0</v>
      </c>
      <c r="E78">
        <v>1980</v>
      </c>
      <c r="G78" t="s">
        <v>9</v>
      </c>
      <c r="H78" t="s">
        <v>67</v>
      </c>
    </row>
    <row r="79" spans="1:8" x14ac:dyDescent="0.3">
      <c r="A79" t="s">
        <v>10</v>
      </c>
      <c r="B79">
        <v>1</v>
      </c>
      <c r="C79" s="1"/>
      <c r="E79">
        <v>1981</v>
      </c>
      <c r="G79" t="s">
        <v>9</v>
      </c>
      <c r="H79" t="s">
        <v>67</v>
      </c>
    </row>
    <row r="80" spans="1:8" x14ac:dyDescent="0.3">
      <c r="A80" t="s">
        <v>10</v>
      </c>
      <c r="B80">
        <v>1</v>
      </c>
      <c r="C80" s="1"/>
      <c r="E80">
        <v>1982</v>
      </c>
      <c r="G80" t="s">
        <v>9</v>
      </c>
      <c r="H80" t="s">
        <v>67</v>
      </c>
    </row>
    <row r="81" spans="1:8" x14ac:dyDescent="0.3">
      <c r="A81" t="s">
        <v>10</v>
      </c>
      <c r="B81">
        <v>1</v>
      </c>
      <c r="C81" s="1"/>
      <c r="E81">
        <v>1983</v>
      </c>
      <c r="G81" t="s">
        <v>9</v>
      </c>
      <c r="H81" t="s">
        <v>67</v>
      </c>
    </row>
    <row r="82" spans="1:8" x14ac:dyDescent="0.3">
      <c r="A82" t="s">
        <v>10</v>
      </c>
      <c r="B82">
        <v>1</v>
      </c>
      <c r="C82" s="1"/>
      <c r="E82">
        <v>1984</v>
      </c>
      <c r="G82" t="s">
        <v>9</v>
      </c>
      <c r="H82" t="s">
        <v>67</v>
      </c>
    </row>
    <row r="83" spans="1:8" x14ac:dyDescent="0.3">
      <c r="A83" t="s">
        <v>10</v>
      </c>
      <c r="B83">
        <v>1</v>
      </c>
      <c r="C83" s="1"/>
      <c r="D83">
        <v>0</v>
      </c>
      <c r="E83">
        <v>1985</v>
      </c>
      <c r="G83" t="s">
        <v>9</v>
      </c>
      <c r="H83" t="s">
        <v>67</v>
      </c>
    </row>
    <row r="84" spans="1:8" x14ac:dyDescent="0.3">
      <c r="A84" t="s">
        <v>10</v>
      </c>
      <c r="B84">
        <v>1</v>
      </c>
      <c r="C84" s="1"/>
      <c r="D84">
        <v>0</v>
      </c>
      <c r="E84">
        <v>1986</v>
      </c>
      <c r="G84" t="s">
        <v>9</v>
      </c>
      <c r="H84" t="s">
        <v>67</v>
      </c>
    </row>
    <row r="85" spans="1:8" x14ac:dyDescent="0.3">
      <c r="A85" t="s">
        <v>10</v>
      </c>
      <c r="B85">
        <v>1</v>
      </c>
      <c r="C85" s="1"/>
      <c r="D85">
        <v>0</v>
      </c>
      <c r="E85">
        <v>1987</v>
      </c>
      <c r="G85" t="s">
        <v>9</v>
      </c>
      <c r="H85" t="s">
        <v>67</v>
      </c>
    </row>
    <row r="86" spans="1:8" x14ac:dyDescent="0.3">
      <c r="A86" t="s">
        <v>10</v>
      </c>
      <c r="B86">
        <v>1</v>
      </c>
      <c r="C86" s="1"/>
      <c r="E86">
        <v>1988</v>
      </c>
      <c r="G86" t="s">
        <v>9</v>
      </c>
      <c r="H86" t="s">
        <v>67</v>
      </c>
    </row>
    <row r="87" spans="1:8" x14ac:dyDescent="0.3">
      <c r="A87" t="s">
        <v>10</v>
      </c>
      <c r="B87">
        <v>1</v>
      </c>
      <c r="C87" s="1"/>
      <c r="D87">
        <v>0</v>
      </c>
      <c r="E87">
        <v>1989</v>
      </c>
      <c r="G87" t="s">
        <v>9</v>
      </c>
      <c r="H87" t="s">
        <v>67</v>
      </c>
    </row>
    <row r="88" spans="1:8" x14ac:dyDescent="0.3">
      <c r="A88" t="s">
        <v>10</v>
      </c>
      <c r="B88">
        <v>1</v>
      </c>
      <c r="C88" s="1"/>
      <c r="E88">
        <v>1990</v>
      </c>
      <c r="G88" t="s">
        <v>9</v>
      </c>
      <c r="H88" t="s">
        <v>67</v>
      </c>
    </row>
    <row r="89" spans="1:8" x14ac:dyDescent="0.3">
      <c r="A89" t="s">
        <v>10</v>
      </c>
      <c r="B89">
        <v>1</v>
      </c>
      <c r="C89" s="1"/>
      <c r="E89">
        <v>1991</v>
      </c>
      <c r="G89" t="s">
        <v>9</v>
      </c>
      <c r="H89" t="s">
        <v>67</v>
      </c>
    </row>
    <row r="90" spans="1:8" x14ac:dyDescent="0.3">
      <c r="A90" t="s">
        <v>10</v>
      </c>
      <c r="B90">
        <v>1</v>
      </c>
      <c r="C90" s="1"/>
      <c r="D90">
        <v>1</v>
      </c>
      <c r="E90">
        <v>1992</v>
      </c>
      <c r="G90" t="s">
        <v>9</v>
      </c>
      <c r="H90" t="s">
        <v>67</v>
      </c>
    </row>
    <row r="91" spans="1:8" x14ac:dyDescent="0.3">
      <c r="A91" t="s">
        <v>10</v>
      </c>
      <c r="B91">
        <v>1</v>
      </c>
      <c r="C91" s="1"/>
      <c r="E91">
        <v>1993</v>
      </c>
      <c r="G91" t="s">
        <v>9</v>
      </c>
      <c r="H91" t="s">
        <v>67</v>
      </c>
    </row>
    <row r="92" spans="1:8" x14ac:dyDescent="0.3">
      <c r="A92" t="s">
        <v>10</v>
      </c>
      <c r="B92">
        <v>1</v>
      </c>
      <c r="C92" s="1"/>
      <c r="E92">
        <v>1994</v>
      </c>
      <c r="G92" t="s">
        <v>9</v>
      </c>
      <c r="H92" t="s">
        <v>67</v>
      </c>
    </row>
    <row r="93" spans="1:8" x14ac:dyDescent="0.3">
      <c r="A93" t="s">
        <v>10</v>
      </c>
      <c r="B93">
        <v>1</v>
      </c>
      <c r="C93" s="1"/>
      <c r="E93">
        <v>1995</v>
      </c>
      <c r="G93" t="s">
        <v>9</v>
      </c>
      <c r="H93" t="s">
        <v>67</v>
      </c>
    </row>
    <row r="94" spans="1:8" x14ac:dyDescent="0.3">
      <c r="A94" t="s">
        <v>10</v>
      </c>
      <c r="B94">
        <v>1</v>
      </c>
      <c r="C94" s="1"/>
      <c r="E94">
        <v>1996</v>
      </c>
      <c r="G94" t="s">
        <v>9</v>
      </c>
      <c r="H94" t="s">
        <v>67</v>
      </c>
    </row>
    <row r="95" spans="1:8" x14ac:dyDescent="0.3">
      <c r="A95" t="s">
        <v>10</v>
      </c>
      <c r="B95">
        <v>1</v>
      </c>
      <c r="C95" s="1"/>
      <c r="E95">
        <v>1997</v>
      </c>
      <c r="G95" t="s">
        <v>9</v>
      </c>
      <c r="H95" t="s">
        <v>67</v>
      </c>
    </row>
    <row r="96" spans="1:8" x14ac:dyDescent="0.3">
      <c r="A96" t="s">
        <v>10</v>
      </c>
      <c r="B96">
        <v>1</v>
      </c>
      <c r="C96" s="1"/>
      <c r="E96">
        <v>1998</v>
      </c>
      <c r="G96" t="s">
        <v>9</v>
      </c>
      <c r="H96" t="s">
        <v>67</v>
      </c>
    </row>
    <row r="97" spans="1:8" x14ac:dyDescent="0.3">
      <c r="A97" t="s">
        <v>10</v>
      </c>
      <c r="B97">
        <v>1</v>
      </c>
      <c r="C97" s="1"/>
      <c r="E97">
        <v>1999</v>
      </c>
      <c r="G97" t="s">
        <v>9</v>
      </c>
      <c r="H97" t="s">
        <v>67</v>
      </c>
    </row>
    <row r="98" spans="1:8" x14ac:dyDescent="0.3">
      <c r="A98" t="s">
        <v>10</v>
      </c>
      <c r="B98">
        <v>1</v>
      </c>
      <c r="C98" s="1"/>
      <c r="E98">
        <v>2000</v>
      </c>
      <c r="G98" t="s">
        <v>9</v>
      </c>
      <c r="H98" t="s">
        <v>67</v>
      </c>
    </row>
    <row r="99" spans="1:8" x14ac:dyDescent="0.3">
      <c r="A99" t="s">
        <v>10</v>
      </c>
      <c r="B99">
        <v>1</v>
      </c>
      <c r="C99" s="1"/>
      <c r="E99">
        <v>2001</v>
      </c>
      <c r="G99" t="s">
        <v>9</v>
      </c>
      <c r="H99" t="s">
        <v>67</v>
      </c>
    </row>
    <row r="100" spans="1:8" x14ac:dyDescent="0.3">
      <c r="A100" t="s">
        <v>10</v>
      </c>
      <c r="B100">
        <v>1</v>
      </c>
      <c r="C100" s="1"/>
      <c r="E100">
        <v>2002</v>
      </c>
      <c r="G100" t="s">
        <v>9</v>
      </c>
      <c r="H100" t="s">
        <v>67</v>
      </c>
    </row>
    <row r="101" spans="1:8" x14ac:dyDescent="0.3">
      <c r="A101" t="s">
        <v>10</v>
      </c>
      <c r="B101">
        <v>1</v>
      </c>
      <c r="C101" s="1"/>
      <c r="E101">
        <v>2003</v>
      </c>
      <c r="G101" t="s">
        <v>9</v>
      </c>
      <c r="H101" t="s">
        <v>67</v>
      </c>
    </row>
    <row r="102" spans="1:8" x14ac:dyDescent="0.3">
      <c r="A102" t="s">
        <v>10</v>
      </c>
      <c r="B102">
        <v>1</v>
      </c>
      <c r="C102" s="1"/>
      <c r="E102">
        <v>2004</v>
      </c>
      <c r="G102" t="s">
        <v>9</v>
      </c>
      <c r="H102" t="s">
        <v>67</v>
      </c>
    </row>
    <row r="103" spans="1:8" x14ac:dyDescent="0.3">
      <c r="A103" t="s">
        <v>10</v>
      </c>
      <c r="B103">
        <v>1</v>
      </c>
      <c r="C103" s="1"/>
      <c r="D103">
        <v>0</v>
      </c>
      <c r="E103">
        <v>2005</v>
      </c>
      <c r="G103" t="s">
        <v>9</v>
      </c>
      <c r="H103" t="s">
        <v>67</v>
      </c>
    </row>
    <row r="104" spans="1:8" x14ac:dyDescent="0.3">
      <c r="A104" t="s">
        <v>11</v>
      </c>
      <c r="B104">
        <v>1</v>
      </c>
      <c r="C104" s="1"/>
      <c r="D104">
        <v>0</v>
      </c>
      <c r="E104">
        <v>1955</v>
      </c>
      <c r="G104" t="s">
        <v>9</v>
      </c>
      <c r="H104" t="s">
        <v>67</v>
      </c>
    </row>
    <row r="105" spans="1:8" x14ac:dyDescent="0.3">
      <c r="A105" t="s">
        <v>11</v>
      </c>
      <c r="B105">
        <v>1</v>
      </c>
      <c r="C105" s="1"/>
      <c r="D105">
        <v>0</v>
      </c>
      <c r="E105">
        <v>1956</v>
      </c>
      <c r="G105" t="s">
        <v>9</v>
      </c>
      <c r="H105" t="s">
        <v>67</v>
      </c>
    </row>
    <row r="106" spans="1:8" x14ac:dyDescent="0.3">
      <c r="A106" t="s">
        <v>11</v>
      </c>
      <c r="B106">
        <v>1</v>
      </c>
      <c r="C106" s="1"/>
      <c r="E106">
        <v>1957</v>
      </c>
      <c r="G106" t="s">
        <v>9</v>
      </c>
      <c r="H106" t="s">
        <v>67</v>
      </c>
    </row>
    <row r="107" spans="1:8" x14ac:dyDescent="0.3">
      <c r="A107" t="s">
        <v>11</v>
      </c>
      <c r="B107">
        <v>1</v>
      </c>
      <c r="C107" s="1"/>
      <c r="D107">
        <v>0</v>
      </c>
      <c r="E107">
        <v>1958</v>
      </c>
      <c r="G107" t="s">
        <v>9</v>
      </c>
      <c r="H107" t="s">
        <v>67</v>
      </c>
    </row>
    <row r="108" spans="1:8" x14ac:dyDescent="0.3">
      <c r="A108" t="s">
        <v>11</v>
      </c>
      <c r="B108">
        <v>1</v>
      </c>
      <c r="C108" s="1"/>
      <c r="E108">
        <v>1959</v>
      </c>
      <c r="G108" t="s">
        <v>9</v>
      </c>
      <c r="H108" t="s">
        <v>67</v>
      </c>
    </row>
    <row r="109" spans="1:8" x14ac:dyDescent="0.3">
      <c r="A109" t="s">
        <v>11</v>
      </c>
      <c r="B109">
        <v>1</v>
      </c>
      <c r="C109" s="1"/>
      <c r="E109">
        <v>1960</v>
      </c>
      <c r="G109" t="s">
        <v>9</v>
      </c>
      <c r="H109" t="s">
        <v>67</v>
      </c>
    </row>
    <row r="110" spans="1:8" x14ac:dyDescent="0.3">
      <c r="A110" t="s">
        <v>11</v>
      </c>
      <c r="B110">
        <v>1</v>
      </c>
      <c r="C110" s="1"/>
      <c r="D110">
        <v>0</v>
      </c>
      <c r="E110">
        <v>1961</v>
      </c>
      <c r="G110" t="s">
        <v>9</v>
      </c>
      <c r="H110" t="s">
        <v>67</v>
      </c>
    </row>
    <row r="111" spans="1:8" x14ac:dyDescent="0.3">
      <c r="A111" t="s">
        <v>11</v>
      </c>
      <c r="B111">
        <v>1</v>
      </c>
      <c r="C111" s="1"/>
      <c r="D111">
        <v>0</v>
      </c>
      <c r="E111">
        <v>1962</v>
      </c>
      <c r="G111" t="s">
        <v>9</v>
      </c>
      <c r="H111" t="s">
        <v>67</v>
      </c>
    </row>
    <row r="112" spans="1:8" x14ac:dyDescent="0.3">
      <c r="A112" t="s">
        <v>11</v>
      </c>
      <c r="B112">
        <v>1</v>
      </c>
      <c r="C112" s="1"/>
      <c r="D112">
        <v>0</v>
      </c>
      <c r="E112">
        <v>1963</v>
      </c>
      <c r="G112" t="s">
        <v>9</v>
      </c>
      <c r="H112" t="s">
        <v>67</v>
      </c>
    </row>
    <row r="113" spans="1:8" x14ac:dyDescent="0.3">
      <c r="A113" t="s">
        <v>11</v>
      </c>
      <c r="B113">
        <v>1</v>
      </c>
      <c r="C113" s="1"/>
      <c r="E113">
        <v>1964</v>
      </c>
      <c r="G113" t="s">
        <v>9</v>
      </c>
      <c r="H113" t="s">
        <v>67</v>
      </c>
    </row>
    <row r="114" spans="1:8" x14ac:dyDescent="0.3">
      <c r="A114" t="s">
        <v>11</v>
      </c>
      <c r="B114">
        <v>1</v>
      </c>
      <c r="C114" s="1"/>
      <c r="D114">
        <v>0</v>
      </c>
      <c r="E114">
        <v>1965</v>
      </c>
      <c r="G114" t="s">
        <v>9</v>
      </c>
      <c r="H114" t="s">
        <v>67</v>
      </c>
    </row>
    <row r="115" spans="1:8" x14ac:dyDescent="0.3">
      <c r="A115" t="s">
        <v>11</v>
      </c>
      <c r="B115">
        <v>1</v>
      </c>
      <c r="C115" s="1"/>
      <c r="E115">
        <v>1966</v>
      </c>
      <c r="G115" t="s">
        <v>9</v>
      </c>
      <c r="H115" t="s">
        <v>67</v>
      </c>
    </row>
    <row r="116" spans="1:8" x14ac:dyDescent="0.3">
      <c r="A116" t="s">
        <v>11</v>
      </c>
      <c r="B116">
        <v>1</v>
      </c>
      <c r="C116" s="1"/>
      <c r="E116">
        <v>1967</v>
      </c>
      <c r="G116" t="s">
        <v>9</v>
      </c>
      <c r="H116" t="s">
        <v>67</v>
      </c>
    </row>
    <row r="117" spans="1:8" x14ac:dyDescent="0.3">
      <c r="A117" t="s">
        <v>11</v>
      </c>
      <c r="B117">
        <v>1</v>
      </c>
      <c r="C117" s="1"/>
      <c r="E117">
        <v>1968</v>
      </c>
      <c r="G117" t="s">
        <v>9</v>
      </c>
      <c r="H117" t="s">
        <v>67</v>
      </c>
    </row>
    <row r="118" spans="1:8" x14ac:dyDescent="0.3">
      <c r="A118" t="s">
        <v>11</v>
      </c>
      <c r="B118">
        <v>1</v>
      </c>
      <c r="C118" s="1"/>
      <c r="D118">
        <v>0</v>
      </c>
      <c r="E118">
        <v>1969</v>
      </c>
      <c r="G118" t="s">
        <v>9</v>
      </c>
      <c r="H118" t="s">
        <v>67</v>
      </c>
    </row>
    <row r="119" spans="1:8" x14ac:dyDescent="0.3">
      <c r="A119" t="s">
        <v>11</v>
      </c>
      <c r="B119">
        <v>1</v>
      </c>
      <c r="C119" s="1"/>
      <c r="E119">
        <v>1970</v>
      </c>
      <c r="G119" t="s">
        <v>9</v>
      </c>
      <c r="H119" t="s">
        <v>67</v>
      </c>
    </row>
    <row r="120" spans="1:8" x14ac:dyDescent="0.3">
      <c r="A120" t="s">
        <v>11</v>
      </c>
      <c r="B120">
        <v>1</v>
      </c>
      <c r="C120" s="1"/>
      <c r="D120">
        <v>0</v>
      </c>
      <c r="E120">
        <v>1971</v>
      </c>
      <c r="G120" t="s">
        <v>9</v>
      </c>
      <c r="H120" t="s">
        <v>67</v>
      </c>
    </row>
    <row r="121" spans="1:8" x14ac:dyDescent="0.3">
      <c r="A121" t="s">
        <v>11</v>
      </c>
      <c r="B121">
        <v>1</v>
      </c>
      <c r="C121" s="1"/>
      <c r="D121">
        <v>0</v>
      </c>
      <c r="E121">
        <v>1972</v>
      </c>
      <c r="G121" t="s">
        <v>9</v>
      </c>
      <c r="H121" t="s">
        <v>67</v>
      </c>
    </row>
    <row r="122" spans="1:8" x14ac:dyDescent="0.3">
      <c r="A122" t="s">
        <v>11</v>
      </c>
      <c r="B122">
        <v>1</v>
      </c>
      <c r="C122" s="1"/>
      <c r="E122">
        <v>1973</v>
      </c>
      <c r="G122" t="s">
        <v>9</v>
      </c>
      <c r="H122" t="s">
        <v>67</v>
      </c>
    </row>
    <row r="123" spans="1:8" x14ac:dyDescent="0.3">
      <c r="A123" t="s">
        <v>11</v>
      </c>
      <c r="B123">
        <v>1</v>
      </c>
      <c r="C123" s="1"/>
      <c r="E123">
        <v>1974</v>
      </c>
      <c r="G123" t="s">
        <v>9</v>
      </c>
      <c r="H123" t="s">
        <v>67</v>
      </c>
    </row>
    <row r="124" spans="1:8" x14ac:dyDescent="0.3">
      <c r="A124" t="s">
        <v>11</v>
      </c>
      <c r="B124">
        <v>1</v>
      </c>
      <c r="C124" s="1"/>
      <c r="E124">
        <v>1975</v>
      </c>
      <c r="G124" t="s">
        <v>9</v>
      </c>
      <c r="H124" t="s">
        <v>67</v>
      </c>
    </row>
    <row r="125" spans="1:8" x14ac:dyDescent="0.3">
      <c r="A125" t="s">
        <v>11</v>
      </c>
      <c r="B125">
        <v>1</v>
      </c>
      <c r="C125" s="1"/>
      <c r="D125">
        <v>0</v>
      </c>
      <c r="E125">
        <v>1976</v>
      </c>
      <c r="G125" t="s">
        <v>9</v>
      </c>
      <c r="H125" t="s">
        <v>67</v>
      </c>
    </row>
    <row r="126" spans="1:8" x14ac:dyDescent="0.3">
      <c r="A126" t="s">
        <v>11</v>
      </c>
      <c r="B126">
        <v>1</v>
      </c>
      <c r="C126" s="1"/>
      <c r="D126">
        <v>0</v>
      </c>
      <c r="E126">
        <v>1977</v>
      </c>
      <c r="G126" t="s">
        <v>9</v>
      </c>
      <c r="H126" t="s">
        <v>67</v>
      </c>
    </row>
    <row r="127" spans="1:8" x14ac:dyDescent="0.3">
      <c r="A127" t="s">
        <v>11</v>
      </c>
      <c r="B127">
        <v>1</v>
      </c>
      <c r="C127" s="1"/>
      <c r="E127">
        <v>1978</v>
      </c>
      <c r="G127" t="s">
        <v>9</v>
      </c>
      <c r="H127" t="s">
        <v>67</v>
      </c>
    </row>
    <row r="128" spans="1:8" x14ac:dyDescent="0.3">
      <c r="A128" t="s">
        <v>11</v>
      </c>
      <c r="B128">
        <v>1</v>
      </c>
      <c r="C128" s="1"/>
      <c r="E128">
        <v>1979</v>
      </c>
      <c r="G128" t="s">
        <v>9</v>
      </c>
      <c r="H128" t="s">
        <v>67</v>
      </c>
    </row>
    <row r="129" spans="1:8" x14ac:dyDescent="0.3">
      <c r="A129" t="s">
        <v>11</v>
      </c>
      <c r="B129">
        <v>1</v>
      </c>
      <c r="C129" s="1"/>
      <c r="D129">
        <v>0</v>
      </c>
      <c r="E129">
        <v>1980</v>
      </c>
      <c r="G129" t="s">
        <v>9</v>
      </c>
      <c r="H129" t="s">
        <v>67</v>
      </c>
    </row>
    <row r="130" spans="1:8" x14ac:dyDescent="0.3">
      <c r="A130" t="s">
        <v>11</v>
      </c>
      <c r="B130">
        <v>1</v>
      </c>
      <c r="C130" s="1"/>
      <c r="E130">
        <v>1981</v>
      </c>
      <c r="G130" t="s">
        <v>9</v>
      </c>
      <c r="H130" t="s">
        <v>67</v>
      </c>
    </row>
    <row r="131" spans="1:8" x14ac:dyDescent="0.3">
      <c r="A131" t="s">
        <v>11</v>
      </c>
      <c r="B131">
        <v>1</v>
      </c>
      <c r="C131" s="1"/>
      <c r="E131">
        <v>1982</v>
      </c>
      <c r="G131" t="s">
        <v>9</v>
      </c>
      <c r="H131" t="s">
        <v>67</v>
      </c>
    </row>
    <row r="132" spans="1:8" x14ac:dyDescent="0.3">
      <c r="A132" t="s">
        <v>11</v>
      </c>
      <c r="B132">
        <v>1</v>
      </c>
      <c r="C132" s="1"/>
      <c r="E132">
        <v>1983</v>
      </c>
      <c r="G132" t="s">
        <v>9</v>
      </c>
      <c r="H132" t="s">
        <v>67</v>
      </c>
    </row>
    <row r="133" spans="1:8" x14ac:dyDescent="0.3">
      <c r="A133" t="s">
        <v>11</v>
      </c>
      <c r="B133">
        <v>1</v>
      </c>
      <c r="C133" s="1"/>
      <c r="E133">
        <v>1984</v>
      </c>
      <c r="G133" t="s">
        <v>9</v>
      </c>
      <c r="H133" t="s">
        <v>67</v>
      </c>
    </row>
    <row r="134" spans="1:8" x14ac:dyDescent="0.3">
      <c r="A134" t="s">
        <v>11</v>
      </c>
      <c r="B134">
        <v>1</v>
      </c>
      <c r="C134" s="1"/>
      <c r="D134">
        <v>0</v>
      </c>
      <c r="E134">
        <v>1985</v>
      </c>
      <c r="G134" t="s">
        <v>9</v>
      </c>
      <c r="H134" t="s">
        <v>67</v>
      </c>
    </row>
    <row r="135" spans="1:8" x14ac:dyDescent="0.3">
      <c r="A135" t="s">
        <v>11</v>
      </c>
      <c r="B135">
        <v>1</v>
      </c>
      <c r="C135" s="1"/>
      <c r="D135">
        <v>0</v>
      </c>
      <c r="E135">
        <v>1986</v>
      </c>
      <c r="G135" t="s">
        <v>9</v>
      </c>
      <c r="H135" t="s">
        <v>67</v>
      </c>
    </row>
    <row r="136" spans="1:8" x14ac:dyDescent="0.3">
      <c r="A136" t="s">
        <v>11</v>
      </c>
      <c r="B136">
        <v>1</v>
      </c>
      <c r="C136" s="1"/>
      <c r="D136">
        <v>0</v>
      </c>
      <c r="E136">
        <v>1987</v>
      </c>
      <c r="G136" t="s">
        <v>9</v>
      </c>
      <c r="H136" t="s">
        <v>67</v>
      </c>
    </row>
    <row r="137" spans="1:8" x14ac:dyDescent="0.3">
      <c r="A137" t="s">
        <v>11</v>
      </c>
      <c r="B137">
        <v>1</v>
      </c>
      <c r="C137" s="1"/>
      <c r="E137">
        <v>1988</v>
      </c>
      <c r="G137" t="s">
        <v>9</v>
      </c>
      <c r="H137" t="s">
        <v>67</v>
      </c>
    </row>
    <row r="138" spans="1:8" x14ac:dyDescent="0.3">
      <c r="A138" t="s">
        <v>11</v>
      </c>
      <c r="B138">
        <v>1</v>
      </c>
      <c r="C138" s="1"/>
      <c r="D138">
        <v>0</v>
      </c>
      <c r="E138">
        <v>1989</v>
      </c>
      <c r="G138" t="s">
        <v>9</v>
      </c>
      <c r="H138" t="s">
        <v>67</v>
      </c>
    </row>
    <row r="139" spans="1:8" x14ac:dyDescent="0.3">
      <c r="A139" t="s">
        <v>11</v>
      </c>
      <c r="B139">
        <v>1</v>
      </c>
      <c r="C139" s="1"/>
      <c r="E139">
        <v>1990</v>
      </c>
      <c r="G139" t="s">
        <v>9</v>
      </c>
      <c r="H139" t="s">
        <v>67</v>
      </c>
    </row>
    <row r="140" spans="1:8" x14ac:dyDescent="0.3">
      <c r="A140" t="s">
        <v>11</v>
      </c>
      <c r="B140">
        <v>1</v>
      </c>
      <c r="C140" s="1"/>
      <c r="E140">
        <v>1991</v>
      </c>
      <c r="G140" t="s">
        <v>9</v>
      </c>
      <c r="H140" t="s">
        <v>67</v>
      </c>
    </row>
    <row r="141" spans="1:8" x14ac:dyDescent="0.3">
      <c r="A141" t="s">
        <v>11</v>
      </c>
      <c r="B141">
        <v>1</v>
      </c>
      <c r="C141" s="1"/>
      <c r="D141">
        <v>0</v>
      </c>
      <c r="E141">
        <v>1992</v>
      </c>
      <c r="G141" t="s">
        <v>9</v>
      </c>
      <c r="H141" t="s">
        <v>67</v>
      </c>
    </row>
    <row r="142" spans="1:8" x14ac:dyDescent="0.3">
      <c r="A142" t="s">
        <v>11</v>
      </c>
      <c r="B142">
        <v>1</v>
      </c>
      <c r="C142" s="1"/>
      <c r="E142">
        <v>1993</v>
      </c>
      <c r="G142" t="s">
        <v>9</v>
      </c>
      <c r="H142" t="s">
        <v>67</v>
      </c>
    </row>
    <row r="143" spans="1:8" x14ac:dyDescent="0.3">
      <c r="A143" t="s">
        <v>11</v>
      </c>
      <c r="B143">
        <v>1</v>
      </c>
      <c r="C143" s="1"/>
      <c r="E143">
        <v>1994</v>
      </c>
      <c r="G143" t="s">
        <v>9</v>
      </c>
      <c r="H143" t="s">
        <v>67</v>
      </c>
    </row>
    <row r="144" spans="1:8" x14ac:dyDescent="0.3">
      <c r="A144" t="s">
        <v>11</v>
      </c>
      <c r="B144">
        <v>1</v>
      </c>
      <c r="C144" s="1"/>
      <c r="E144">
        <v>1995</v>
      </c>
      <c r="G144" t="s">
        <v>9</v>
      </c>
      <c r="H144" t="s">
        <v>67</v>
      </c>
    </row>
    <row r="145" spans="1:8" x14ac:dyDescent="0.3">
      <c r="A145" t="s">
        <v>11</v>
      </c>
      <c r="B145">
        <v>1</v>
      </c>
      <c r="C145" s="1"/>
      <c r="E145">
        <v>1996</v>
      </c>
      <c r="G145" t="s">
        <v>9</v>
      </c>
      <c r="H145" t="s">
        <v>67</v>
      </c>
    </row>
    <row r="146" spans="1:8" x14ac:dyDescent="0.3">
      <c r="A146" t="s">
        <v>11</v>
      </c>
      <c r="B146">
        <v>1</v>
      </c>
      <c r="C146" s="1"/>
      <c r="E146">
        <v>1997</v>
      </c>
      <c r="G146" t="s">
        <v>9</v>
      </c>
      <c r="H146" t="s">
        <v>67</v>
      </c>
    </row>
    <row r="147" spans="1:8" x14ac:dyDescent="0.3">
      <c r="A147" t="s">
        <v>11</v>
      </c>
      <c r="B147">
        <v>1</v>
      </c>
      <c r="C147" s="1"/>
      <c r="E147">
        <v>1998</v>
      </c>
      <c r="G147" t="s">
        <v>9</v>
      </c>
      <c r="H147" t="s">
        <v>67</v>
      </c>
    </row>
    <row r="148" spans="1:8" x14ac:dyDescent="0.3">
      <c r="A148" t="s">
        <v>11</v>
      </c>
      <c r="B148">
        <v>1</v>
      </c>
      <c r="C148" s="1"/>
      <c r="E148">
        <v>1999</v>
      </c>
      <c r="G148" t="s">
        <v>9</v>
      </c>
      <c r="H148" t="s">
        <v>67</v>
      </c>
    </row>
    <row r="149" spans="1:8" x14ac:dyDescent="0.3">
      <c r="A149" t="s">
        <v>11</v>
      </c>
      <c r="B149">
        <v>1</v>
      </c>
      <c r="C149" s="1"/>
      <c r="E149">
        <v>2000</v>
      </c>
      <c r="G149" t="s">
        <v>9</v>
      </c>
      <c r="H149" t="s">
        <v>67</v>
      </c>
    </row>
    <row r="150" spans="1:8" x14ac:dyDescent="0.3">
      <c r="A150" t="s">
        <v>11</v>
      </c>
      <c r="B150">
        <v>1</v>
      </c>
      <c r="C150" s="1"/>
      <c r="E150">
        <v>2001</v>
      </c>
      <c r="G150" t="s">
        <v>9</v>
      </c>
      <c r="H150" t="s">
        <v>67</v>
      </c>
    </row>
    <row r="151" spans="1:8" x14ac:dyDescent="0.3">
      <c r="A151" t="s">
        <v>11</v>
      </c>
      <c r="B151">
        <v>1</v>
      </c>
      <c r="C151" s="1"/>
      <c r="E151">
        <v>2002</v>
      </c>
      <c r="G151" t="s">
        <v>9</v>
      </c>
      <c r="H151" t="s">
        <v>67</v>
      </c>
    </row>
    <row r="152" spans="1:8" x14ac:dyDescent="0.3">
      <c r="A152" t="s">
        <v>11</v>
      </c>
      <c r="B152">
        <v>1</v>
      </c>
      <c r="C152" s="1"/>
      <c r="E152">
        <v>2003</v>
      </c>
      <c r="G152" t="s">
        <v>9</v>
      </c>
      <c r="H152" t="s">
        <v>67</v>
      </c>
    </row>
    <row r="153" spans="1:8" x14ac:dyDescent="0.3">
      <c r="A153" t="s">
        <v>11</v>
      </c>
      <c r="B153">
        <v>1</v>
      </c>
      <c r="C153" s="1"/>
      <c r="E153">
        <v>2004</v>
      </c>
      <c r="G153" t="s">
        <v>9</v>
      </c>
      <c r="H153" t="s">
        <v>67</v>
      </c>
    </row>
    <row r="154" spans="1:8" x14ac:dyDescent="0.3">
      <c r="A154" t="s">
        <v>11</v>
      </c>
      <c r="B154">
        <v>1</v>
      </c>
      <c r="C154" s="1"/>
      <c r="D154">
        <f>14/60</f>
        <v>0.23333333333333334</v>
      </c>
      <c r="E154">
        <v>2005</v>
      </c>
      <c r="G154" t="s">
        <v>9</v>
      </c>
      <c r="H154" t="s">
        <v>67</v>
      </c>
    </row>
    <row r="155" spans="1:8" x14ac:dyDescent="0.3">
      <c r="A155" t="s">
        <v>12</v>
      </c>
      <c r="B155">
        <v>1</v>
      </c>
      <c r="C155" s="1"/>
      <c r="D155">
        <v>0</v>
      </c>
      <c r="E155">
        <v>1955</v>
      </c>
      <c r="G155" t="s">
        <v>9</v>
      </c>
      <c r="H155" t="s">
        <v>67</v>
      </c>
    </row>
    <row r="156" spans="1:8" x14ac:dyDescent="0.3">
      <c r="A156" t="s">
        <v>12</v>
      </c>
      <c r="B156">
        <v>1</v>
      </c>
      <c r="C156" s="1"/>
      <c r="D156">
        <v>0</v>
      </c>
      <c r="E156">
        <v>1956</v>
      </c>
      <c r="G156" t="s">
        <v>9</v>
      </c>
      <c r="H156" t="s">
        <v>67</v>
      </c>
    </row>
    <row r="157" spans="1:8" x14ac:dyDescent="0.3">
      <c r="A157" t="s">
        <v>12</v>
      </c>
      <c r="B157">
        <v>1</v>
      </c>
      <c r="C157" s="1"/>
      <c r="E157">
        <v>1957</v>
      </c>
      <c r="G157" t="s">
        <v>9</v>
      </c>
      <c r="H157" t="s">
        <v>67</v>
      </c>
    </row>
    <row r="158" spans="1:8" x14ac:dyDescent="0.3">
      <c r="A158" t="s">
        <v>12</v>
      </c>
      <c r="B158">
        <v>1</v>
      </c>
      <c r="C158" s="1"/>
      <c r="D158">
        <v>0</v>
      </c>
      <c r="E158">
        <v>1958</v>
      </c>
      <c r="G158" t="s">
        <v>9</v>
      </c>
      <c r="H158" t="s">
        <v>67</v>
      </c>
    </row>
    <row r="159" spans="1:8" x14ac:dyDescent="0.3">
      <c r="A159" t="s">
        <v>12</v>
      </c>
      <c r="B159">
        <v>1</v>
      </c>
      <c r="C159" s="1"/>
      <c r="E159">
        <v>1959</v>
      </c>
      <c r="G159" t="s">
        <v>9</v>
      </c>
      <c r="H159" t="s">
        <v>67</v>
      </c>
    </row>
    <row r="160" spans="1:8" x14ac:dyDescent="0.3">
      <c r="A160" t="s">
        <v>12</v>
      </c>
      <c r="B160">
        <v>1</v>
      </c>
      <c r="C160" s="1"/>
      <c r="E160">
        <v>1960</v>
      </c>
      <c r="G160" t="s">
        <v>9</v>
      </c>
      <c r="H160" t="s">
        <v>67</v>
      </c>
    </row>
    <row r="161" spans="1:8" x14ac:dyDescent="0.3">
      <c r="A161" t="s">
        <v>12</v>
      </c>
      <c r="B161">
        <v>1</v>
      </c>
      <c r="C161" s="1"/>
      <c r="D161">
        <v>0</v>
      </c>
      <c r="E161">
        <v>1961</v>
      </c>
      <c r="G161" t="s">
        <v>9</v>
      </c>
      <c r="H161" t="s">
        <v>67</v>
      </c>
    </row>
    <row r="162" spans="1:8" x14ac:dyDescent="0.3">
      <c r="A162" t="s">
        <v>12</v>
      </c>
      <c r="B162">
        <v>1</v>
      </c>
      <c r="C162" s="1"/>
      <c r="D162">
        <v>0</v>
      </c>
      <c r="E162">
        <v>1962</v>
      </c>
      <c r="G162" t="s">
        <v>9</v>
      </c>
      <c r="H162" t="s">
        <v>67</v>
      </c>
    </row>
    <row r="163" spans="1:8" x14ac:dyDescent="0.3">
      <c r="A163" t="s">
        <v>12</v>
      </c>
      <c r="B163">
        <v>1</v>
      </c>
      <c r="C163" s="1"/>
      <c r="D163">
        <v>0</v>
      </c>
      <c r="E163">
        <v>1963</v>
      </c>
      <c r="G163" t="s">
        <v>9</v>
      </c>
      <c r="H163" t="s">
        <v>67</v>
      </c>
    </row>
    <row r="164" spans="1:8" x14ac:dyDescent="0.3">
      <c r="A164" t="s">
        <v>12</v>
      </c>
      <c r="B164">
        <v>1</v>
      </c>
      <c r="C164" s="1"/>
      <c r="E164">
        <v>1964</v>
      </c>
      <c r="G164" t="s">
        <v>9</v>
      </c>
      <c r="H164" t="s">
        <v>67</v>
      </c>
    </row>
    <row r="165" spans="1:8" x14ac:dyDescent="0.3">
      <c r="A165" t="s">
        <v>12</v>
      </c>
      <c r="B165">
        <v>1</v>
      </c>
      <c r="C165" s="1"/>
      <c r="D165">
        <v>0</v>
      </c>
      <c r="E165">
        <v>1965</v>
      </c>
      <c r="G165" t="s">
        <v>9</v>
      </c>
      <c r="H165" t="s">
        <v>67</v>
      </c>
    </row>
    <row r="166" spans="1:8" x14ac:dyDescent="0.3">
      <c r="A166" t="s">
        <v>12</v>
      </c>
      <c r="B166">
        <v>1</v>
      </c>
      <c r="C166" s="1"/>
      <c r="E166">
        <v>1966</v>
      </c>
      <c r="G166" t="s">
        <v>9</v>
      </c>
      <c r="H166" t="s">
        <v>67</v>
      </c>
    </row>
    <row r="167" spans="1:8" x14ac:dyDescent="0.3">
      <c r="A167" t="s">
        <v>12</v>
      </c>
      <c r="B167">
        <v>1</v>
      </c>
      <c r="C167" s="1"/>
      <c r="E167">
        <v>1967</v>
      </c>
      <c r="G167" t="s">
        <v>9</v>
      </c>
      <c r="H167" t="s">
        <v>67</v>
      </c>
    </row>
    <row r="168" spans="1:8" x14ac:dyDescent="0.3">
      <c r="A168" t="s">
        <v>12</v>
      </c>
      <c r="B168">
        <v>1</v>
      </c>
      <c r="C168" s="1"/>
      <c r="E168">
        <v>1968</v>
      </c>
      <c r="G168" t="s">
        <v>9</v>
      </c>
      <c r="H168" t="s">
        <v>67</v>
      </c>
    </row>
    <row r="169" spans="1:8" x14ac:dyDescent="0.3">
      <c r="A169" t="s">
        <v>12</v>
      </c>
      <c r="B169">
        <v>1</v>
      </c>
      <c r="C169" s="1"/>
      <c r="D169">
        <v>0</v>
      </c>
      <c r="E169">
        <v>1969</v>
      </c>
      <c r="G169" t="s">
        <v>9</v>
      </c>
      <c r="H169" t="s">
        <v>67</v>
      </c>
    </row>
    <row r="170" spans="1:8" x14ac:dyDescent="0.3">
      <c r="A170" t="s">
        <v>12</v>
      </c>
      <c r="B170">
        <v>1</v>
      </c>
      <c r="C170" s="1"/>
      <c r="E170">
        <v>1970</v>
      </c>
      <c r="G170" t="s">
        <v>9</v>
      </c>
      <c r="H170" t="s">
        <v>67</v>
      </c>
    </row>
    <row r="171" spans="1:8" x14ac:dyDescent="0.3">
      <c r="A171" t="s">
        <v>12</v>
      </c>
      <c r="B171">
        <v>1</v>
      </c>
      <c r="C171" s="1"/>
      <c r="D171">
        <v>0</v>
      </c>
      <c r="E171">
        <v>1971</v>
      </c>
      <c r="G171" t="s">
        <v>9</v>
      </c>
      <c r="H171" t="s">
        <v>67</v>
      </c>
    </row>
    <row r="172" spans="1:8" x14ac:dyDescent="0.3">
      <c r="A172" t="s">
        <v>12</v>
      </c>
      <c r="B172">
        <v>1</v>
      </c>
      <c r="C172" s="1"/>
      <c r="D172">
        <v>0</v>
      </c>
      <c r="E172">
        <v>1972</v>
      </c>
      <c r="G172" t="s">
        <v>9</v>
      </c>
      <c r="H172" t="s">
        <v>67</v>
      </c>
    </row>
    <row r="173" spans="1:8" x14ac:dyDescent="0.3">
      <c r="A173" t="s">
        <v>12</v>
      </c>
      <c r="B173">
        <v>1</v>
      </c>
      <c r="C173" s="1"/>
      <c r="E173">
        <v>1973</v>
      </c>
      <c r="G173" t="s">
        <v>9</v>
      </c>
      <c r="H173" t="s">
        <v>67</v>
      </c>
    </row>
    <row r="174" spans="1:8" x14ac:dyDescent="0.3">
      <c r="A174" t="s">
        <v>12</v>
      </c>
      <c r="B174">
        <v>1</v>
      </c>
      <c r="C174" s="1"/>
      <c r="E174">
        <v>1974</v>
      </c>
      <c r="G174" t="s">
        <v>9</v>
      </c>
      <c r="H174" t="s">
        <v>67</v>
      </c>
    </row>
    <row r="175" spans="1:8" x14ac:dyDescent="0.3">
      <c r="A175" t="s">
        <v>12</v>
      </c>
      <c r="B175">
        <v>1</v>
      </c>
      <c r="C175" s="1"/>
      <c r="E175">
        <v>1975</v>
      </c>
      <c r="G175" t="s">
        <v>9</v>
      </c>
      <c r="H175" t="s">
        <v>67</v>
      </c>
    </row>
    <row r="176" spans="1:8" x14ac:dyDescent="0.3">
      <c r="A176" t="s">
        <v>12</v>
      </c>
      <c r="B176">
        <v>1</v>
      </c>
      <c r="C176" s="1"/>
      <c r="D176">
        <v>0</v>
      </c>
      <c r="E176">
        <v>1976</v>
      </c>
      <c r="G176" t="s">
        <v>9</v>
      </c>
      <c r="H176" t="s">
        <v>67</v>
      </c>
    </row>
    <row r="177" spans="1:8" x14ac:dyDescent="0.3">
      <c r="A177" t="s">
        <v>12</v>
      </c>
      <c r="B177">
        <v>1</v>
      </c>
      <c r="C177" s="1"/>
      <c r="D177">
        <v>0</v>
      </c>
      <c r="E177">
        <v>1977</v>
      </c>
      <c r="G177" t="s">
        <v>9</v>
      </c>
      <c r="H177" t="s">
        <v>67</v>
      </c>
    </row>
    <row r="178" spans="1:8" x14ac:dyDescent="0.3">
      <c r="A178" t="s">
        <v>12</v>
      </c>
      <c r="B178">
        <v>1</v>
      </c>
      <c r="C178" s="1"/>
      <c r="E178">
        <v>1978</v>
      </c>
      <c r="G178" t="s">
        <v>9</v>
      </c>
      <c r="H178" t="s">
        <v>67</v>
      </c>
    </row>
    <row r="179" spans="1:8" x14ac:dyDescent="0.3">
      <c r="A179" t="s">
        <v>12</v>
      </c>
      <c r="B179">
        <v>1</v>
      </c>
      <c r="C179" s="1"/>
      <c r="E179">
        <v>1979</v>
      </c>
      <c r="G179" t="s">
        <v>9</v>
      </c>
      <c r="H179" t="s">
        <v>67</v>
      </c>
    </row>
    <row r="180" spans="1:8" x14ac:dyDescent="0.3">
      <c r="A180" t="s">
        <v>12</v>
      </c>
      <c r="B180">
        <v>1</v>
      </c>
      <c r="C180" s="1"/>
      <c r="D180">
        <v>0</v>
      </c>
      <c r="E180">
        <v>1980</v>
      </c>
      <c r="G180" t="s">
        <v>9</v>
      </c>
      <c r="H180" t="s">
        <v>67</v>
      </c>
    </row>
    <row r="181" spans="1:8" x14ac:dyDescent="0.3">
      <c r="A181" t="s">
        <v>12</v>
      </c>
      <c r="B181">
        <v>1</v>
      </c>
      <c r="C181" s="1"/>
      <c r="E181">
        <v>1981</v>
      </c>
      <c r="G181" t="s">
        <v>9</v>
      </c>
      <c r="H181" t="s">
        <v>67</v>
      </c>
    </row>
    <row r="182" spans="1:8" x14ac:dyDescent="0.3">
      <c r="A182" t="s">
        <v>12</v>
      </c>
      <c r="B182">
        <v>1</v>
      </c>
      <c r="C182" s="1"/>
      <c r="E182">
        <v>1982</v>
      </c>
      <c r="G182" t="s">
        <v>9</v>
      </c>
      <c r="H182" t="s">
        <v>67</v>
      </c>
    </row>
    <row r="183" spans="1:8" x14ac:dyDescent="0.3">
      <c r="A183" t="s">
        <v>12</v>
      </c>
      <c r="B183">
        <v>1</v>
      </c>
      <c r="C183" s="1"/>
      <c r="E183">
        <v>1983</v>
      </c>
      <c r="G183" t="s">
        <v>9</v>
      </c>
      <c r="H183" t="s">
        <v>67</v>
      </c>
    </row>
    <row r="184" spans="1:8" x14ac:dyDescent="0.3">
      <c r="A184" t="s">
        <v>12</v>
      </c>
      <c r="B184">
        <v>1</v>
      </c>
      <c r="C184" s="1"/>
      <c r="E184">
        <v>1984</v>
      </c>
      <c r="G184" t="s">
        <v>9</v>
      </c>
      <c r="H184" t="s">
        <v>67</v>
      </c>
    </row>
    <row r="185" spans="1:8" x14ac:dyDescent="0.3">
      <c r="A185" t="s">
        <v>12</v>
      </c>
      <c r="B185">
        <v>1</v>
      </c>
      <c r="C185" s="1"/>
      <c r="D185">
        <v>0</v>
      </c>
      <c r="E185">
        <v>1985</v>
      </c>
      <c r="G185" t="s">
        <v>9</v>
      </c>
      <c r="H185" t="s">
        <v>67</v>
      </c>
    </row>
    <row r="186" spans="1:8" x14ac:dyDescent="0.3">
      <c r="A186" t="s">
        <v>12</v>
      </c>
      <c r="B186">
        <v>1</v>
      </c>
      <c r="C186" s="1"/>
      <c r="D186">
        <v>0</v>
      </c>
      <c r="E186">
        <v>1986</v>
      </c>
      <c r="G186" t="s">
        <v>9</v>
      </c>
      <c r="H186" t="s">
        <v>67</v>
      </c>
    </row>
    <row r="187" spans="1:8" x14ac:dyDescent="0.3">
      <c r="A187" t="s">
        <v>12</v>
      </c>
      <c r="B187">
        <v>1</v>
      </c>
      <c r="C187" s="1"/>
      <c r="D187">
        <v>0</v>
      </c>
      <c r="E187">
        <v>1987</v>
      </c>
      <c r="G187" t="s">
        <v>9</v>
      </c>
      <c r="H187" t="s">
        <v>67</v>
      </c>
    </row>
    <row r="188" spans="1:8" x14ac:dyDescent="0.3">
      <c r="A188" t="s">
        <v>12</v>
      </c>
      <c r="B188">
        <v>1</v>
      </c>
      <c r="C188" s="1"/>
      <c r="E188">
        <v>1988</v>
      </c>
      <c r="G188" t="s">
        <v>9</v>
      </c>
      <c r="H188" t="s">
        <v>67</v>
      </c>
    </row>
    <row r="189" spans="1:8" x14ac:dyDescent="0.3">
      <c r="A189" t="s">
        <v>12</v>
      </c>
      <c r="B189">
        <v>1</v>
      </c>
      <c r="C189" s="1"/>
      <c r="D189">
        <v>0</v>
      </c>
      <c r="E189">
        <v>1989</v>
      </c>
      <c r="G189" t="s">
        <v>9</v>
      </c>
      <c r="H189" t="s">
        <v>67</v>
      </c>
    </row>
    <row r="190" spans="1:8" x14ac:dyDescent="0.3">
      <c r="A190" t="s">
        <v>12</v>
      </c>
      <c r="B190">
        <v>1</v>
      </c>
      <c r="C190" s="1"/>
      <c r="E190">
        <v>1990</v>
      </c>
      <c r="G190" t="s">
        <v>9</v>
      </c>
      <c r="H190" t="s">
        <v>67</v>
      </c>
    </row>
    <row r="191" spans="1:8" x14ac:dyDescent="0.3">
      <c r="A191" t="s">
        <v>12</v>
      </c>
      <c r="B191">
        <v>1</v>
      </c>
      <c r="C191" s="1"/>
      <c r="E191">
        <v>1991</v>
      </c>
      <c r="G191" t="s">
        <v>9</v>
      </c>
      <c r="H191" t="s">
        <v>67</v>
      </c>
    </row>
    <row r="192" spans="1:8" x14ac:dyDescent="0.3">
      <c r="A192" t="s">
        <v>12</v>
      </c>
      <c r="B192">
        <v>1</v>
      </c>
      <c r="C192" s="1"/>
      <c r="D192">
        <v>0</v>
      </c>
      <c r="E192">
        <v>1992</v>
      </c>
      <c r="G192" t="s">
        <v>9</v>
      </c>
      <c r="H192" t="s">
        <v>67</v>
      </c>
    </row>
    <row r="193" spans="1:8" x14ac:dyDescent="0.3">
      <c r="A193" t="s">
        <v>12</v>
      </c>
      <c r="B193">
        <v>1</v>
      </c>
      <c r="C193" s="1"/>
      <c r="E193">
        <v>1993</v>
      </c>
      <c r="G193" t="s">
        <v>9</v>
      </c>
      <c r="H193" t="s">
        <v>67</v>
      </c>
    </row>
    <row r="194" spans="1:8" x14ac:dyDescent="0.3">
      <c r="A194" t="s">
        <v>12</v>
      </c>
      <c r="B194">
        <v>1</v>
      </c>
      <c r="C194" s="1"/>
      <c r="E194">
        <v>1994</v>
      </c>
      <c r="G194" t="s">
        <v>9</v>
      </c>
      <c r="H194" t="s">
        <v>67</v>
      </c>
    </row>
    <row r="195" spans="1:8" x14ac:dyDescent="0.3">
      <c r="A195" t="s">
        <v>12</v>
      </c>
      <c r="B195">
        <v>1</v>
      </c>
      <c r="C195" s="1"/>
      <c r="E195">
        <v>1995</v>
      </c>
      <c r="G195" t="s">
        <v>9</v>
      </c>
      <c r="H195" t="s">
        <v>67</v>
      </c>
    </row>
    <row r="196" spans="1:8" x14ac:dyDescent="0.3">
      <c r="A196" t="s">
        <v>12</v>
      </c>
      <c r="B196">
        <v>1</v>
      </c>
      <c r="C196" s="1"/>
      <c r="E196">
        <v>1996</v>
      </c>
      <c r="G196" t="s">
        <v>9</v>
      </c>
      <c r="H196" t="s">
        <v>67</v>
      </c>
    </row>
    <row r="197" spans="1:8" x14ac:dyDescent="0.3">
      <c r="A197" t="s">
        <v>12</v>
      </c>
      <c r="B197">
        <v>1</v>
      </c>
      <c r="C197" s="1"/>
      <c r="E197">
        <v>1997</v>
      </c>
      <c r="G197" t="s">
        <v>9</v>
      </c>
      <c r="H197" t="s">
        <v>67</v>
      </c>
    </row>
    <row r="198" spans="1:8" x14ac:dyDescent="0.3">
      <c r="A198" t="s">
        <v>12</v>
      </c>
      <c r="B198">
        <v>1</v>
      </c>
      <c r="C198" s="1"/>
      <c r="E198">
        <v>1998</v>
      </c>
      <c r="G198" t="s">
        <v>9</v>
      </c>
      <c r="H198" t="s">
        <v>67</v>
      </c>
    </row>
    <row r="199" spans="1:8" x14ac:dyDescent="0.3">
      <c r="A199" t="s">
        <v>12</v>
      </c>
      <c r="B199">
        <v>1</v>
      </c>
      <c r="C199" s="1"/>
      <c r="E199">
        <v>1999</v>
      </c>
      <c r="G199" t="s">
        <v>9</v>
      </c>
      <c r="H199" t="s">
        <v>67</v>
      </c>
    </row>
    <row r="200" spans="1:8" x14ac:dyDescent="0.3">
      <c r="A200" t="s">
        <v>12</v>
      </c>
      <c r="B200">
        <v>1</v>
      </c>
      <c r="C200" s="1"/>
      <c r="E200">
        <v>2000</v>
      </c>
      <c r="G200" t="s">
        <v>9</v>
      </c>
      <c r="H200" t="s">
        <v>67</v>
      </c>
    </row>
    <row r="201" spans="1:8" x14ac:dyDescent="0.3">
      <c r="A201" t="s">
        <v>12</v>
      </c>
      <c r="B201">
        <v>1</v>
      </c>
      <c r="C201" s="1"/>
      <c r="E201">
        <v>2001</v>
      </c>
      <c r="G201" t="s">
        <v>9</v>
      </c>
      <c r="H201" t="s">
        <v>67</v>
      </c>
    </row>
    <row r="202" spans="1:8" x14ac:dyDescent="0.3">
      <c r="A202" t="s">
        <v>12</v>
      </c>
      <c r="B202">
        <v>1</v>
      </c>
      <c r="C202" s="1"/>
      <c r="E202">
        <v>2002</v>
      </c>
      <c r="G202" t="s">
        <v>9</v>
      </c>
      <c r="H202" t="s">
        <v>67</v>
      </c>
    </row>
    <row r="203" spans="1:8" x14ac:dyDescent="0.3">
      <c r="A203" t="s">
        <v>12</v>
      </c>
      <c r="B203">
        <v>1</v>
      </c>
      <c r="C203" s="1"/>
      <c r="E203">
        <v>2003</v>
      </c>
      <c r="G203" t="s">
        <v>9</v>
      </c>
      <c r="H203" t="s">
        <v>67</v>
      </c>
    </row>
    <row r="204" spans="1:8" x14ac:dyDescent="0.3">
      <c r="A204" t="s">
        <v>12</v>
      </c>
      <c r="B204">
        <v>1</v>
      </c>
      <c r="C204" s="1"/>
      <c r="E204">
        <v>2004</v>
      </c>
      <c r="G204" t="s">
        <v>9</v>
      </c>
      <c r="H204" t="s">
        <v>67</v>
      </c>
    </row>
    <row r="205" spans="1:8" x14ac:dyDescent="0.3">
      <c r="A205" t="s">
        <v>12</v>
      </c>
      <c r="B205">
        <v>1</v>
      </c>
      <c r="C205" s="1"/>
      <c r="D205">
        <f>1/60</f>
        <v>1.6666666666666666E-2</v>
      </c>
      <c r="E205">
        <v>2005</v>
      </c>
      <c r="G205" t="s">
        <v>9</v>
      </c>
      <c r="H205" t="s">
        <v>67</v>
      </c>
    </row>
    <row r="206" spans="1:8" x14ac:dyDescent="0.3">
      <c r="A206" t="s">
        <v>13</v>
      </c>
      <c r="B206">
        <v>1</v>
      </c>
      <c r="C206" t="s">
        <v>14</v>
      </c>
      <c r="D206">
        <v>303</v>
      </c>
      <c r="E206">
        <v>2009</v>
      </c>
      <c r="F206">
        <v>9</v>
      </c>
      <c r="G206" t="s">
        <v>68</v>
      </c>
      <c r="H206" t="s">
        <v>73</v>
      </c>
    </row>
    <row r="207" spans="1:8" x14ac:dyDescent="0.3">
      <c r="A207" t="s">
        <v>13</v>
      </c>
      <c r="B207">
        <v>1</v>
      </c>
      <c r="C207" t="s">
        <v>14</v>
      </c>
      <c r="D207">
        <v>3380</v>
      </c>
      <c r="E207">
        <v>2010</v>
      </c>
      <c r="F207">
        <v>8</v>
      </c>
      <c r="G207" t="s">
        <v>68</v>
      </c>
      <c r="H207" t="s">
        <v>73</v>
      </c>
    </row>
    <row r="208" spans="1:8" x14ac:dyDescent="0.3">
      <c r="A208" t="s">
        <v>13</v>
      </c>
      <c r="B208">
        <v>1</v>
      </c>
      <c r="C208" t="s">
        <v>14</v>
      </c>
      <c r="D208">
        <v>275.89999999999998</v>
      </c>
      <c r="E208">
        <v>2011</v>
      </c>
      <c r="F208">
        <v>6</v>
      </c>
      <c r="G208" t="s">
        <v>68</v>
      </c>
      <c r="H208" t="s">
        <v>73</v>
      </c>
    </row>
    <row r="209" spans="1:8" x14ac:dyDescent="0.3">
      <c r="A209" t="s">
        <v>13</v>
      </c>
      <c r="B209">
        <v>1</v>
      </c>
      <c r="C209" t="s">
        <v>14</v>
      </c>
      <c r="D209">
        <v>1618.3</v>
      </c>
      <c r="E209">
        <v>2011</v>
      </c>
      <c r="F209">
        <v>8</v>
      </c>
      <c r="G209" t="s">
        <v>68</v>
      </c>
      <c r="H209" t="s">
        <v>73</v>
      </c>
    </row>
    <row r="210" spans="1:8" x14ac:dyDescent="0.3">
      <c r="A210" t="s">
        <v>13</v>
      </c>
      <c r="B210">
        <v>1</v>
      </c>
      <c r="C210" t="s">
        <v>14</v>
      </c>
      <c r="D210">
        <v>382.5</v>
      </c>
      <c r="E210">
        <v>2012</v>
      </c>
      <c r="F210">
        <v>5</v>
      </c>
      <c r="G210" t="s">
        <v>68</v>
      </c>
      <c r="H210" t="s">
        <v>73</v>
      </c>
    </row>
    <row r="211" spans="1:8" x14ac:dyDescent="0.3">
      <c r="A211" t="s">
        <v>13</v>
      </c>
      <c r="B211">
        <v>1</v>
      </c>
      <c r="C211" t="s">
        <v>14</v>
      </c>
      <c r="D211">
        <v>940.7</v>
      </c>
      <c r="E211">
        <v>2012</v>
      </c>
      <c r="F211">
        <v>9</v>
      </c>
      <c r="G211" t="s">
        <v>68</v>
      </c>
      <c r="H211" t="s">
        <v>73</v>
      </c>
    </row>
    <row r="212" spans="1:8" x14ac:dyDescent="0.3">
      <c r="A212" t="s">
        <v>13</v>
      </c>
      <c r="B212">
        <v>1</v>
      </c>
      <c r="C212" t="s">
        <v>14</v>
      </c>
      <c r="D212">
        <v>0</v>
      </c>
      <c r="E212">
        <v>2013</v>
      </c>
      <c r="F212">
        <v>6</v>
      </c>
      <c r="G212" t="s">
        <v>68</v>
      </c>
      <c r="H212" t="s">
        <v>73</v>
      </c>
    </row>
    <row r="213" spans="1:8" x14ac:dyDescent="0.3">
      <c r="A213" t="s">
        <v>13</v>
      </c>
      <c r="B213">
        <v>1</v>
      </c>
      <c r="C213" t="s">
        <v>14</v>
      </c>
      <c r="D213">
        <v>0</v>
      </c>
      <c r="E213">
        <v>2013</v>
      </c>
      <c r="F213">
        <v>8</v>
      </c>
      <c r="G213" t="s">
        <v>68</v>
      </c>
      <c r="H213" t="s">
        <v>73</v>
      </c>
    </row>
    <row r="214" spans="1:8" x14ac:dyDescent="0.3">
      <c r="A214" t="s">
        <v>15</v>
      </c>
      <c r="B214">
        <v>1</v>
      </c>
      <c r="C214" t="s">
        <v>16</v>
      </c>
      <c r="D214">
        <v>841</v>
      </c>
      <c r="E214">
        <v>2009</v>
      </c>
      <c r="F214">
        <v>9</v>
      </c>
      <c r="G214" t="s">
        <v>68</v>
      </c>
      <c r="H214" t="s">
        <v>73</v>
      </c>
    </row>
    <row r="215" spans="1:8" x14ac:dyDescent="0.3">
      <c r="A215" t="s">
        <v>15</v>
      </c>
      <c r="B215">
        <v>1</v>
      </c>
      <c r="C215" t="s">
        <v>16</v>
      </c>
      <c r="D215">
        <v>5339</v>
      </c>
      <c r="E215">
        <v>2010</v>
      </c>
      <c r="F215">
        <v>8</v>
      </c>
      <c r="G215" t="s">
        <v>68</v>
      </c>
      <c r="H215" t="s">
        <v>73</v>
      </c>
    </row>
    <row r="216" spans="1:8" x14ac:dyDescent="0.3">
      <c r="A216" t="s">
        <v>15</v>
      </c>
      <c r="B216">
        <v>1</v>
      </c>
      <c r="C216" t="s">
        <v>16</v>
      </c>
      <c r="D216">
        <v>2151.8000000000002</v>
      </c>
      <c r="E216">
        <v>2010</v>
      </c>
      <c r="F216">
        <v>10</v>
      </c>
      <c r="G216" t="s">
        <v>68</v>
      </c>
      <c r="H216" t="s">
        <v>73</v>
      </c>
    </row>
    <row r="217" spans="1:8" x14ac:dyDescent="0.3">
      <c r="A217" t="s">
        <v>15</v>
      </c>
      <c r="B217">
        <v>1</v>
      </c>
      <c r="C217" t="s">
        <v>16</v>
      </c>
      <c r="D217">
        <v>832.9</v>
      </c>
      <c r="E217">
        <v>2011</v>
      </c>
      <c r="F217">
        <v>6</v>
      </c>
      <c r="G217" t="s">
        <v>68</v>
      </c>
      <c r="H217" t="s">
        <v>73</v>
      </c>
    </row>
    <row r="218" spans="1:8" x14ac:dyDescent="0.3">
      <c r="A218" t="s">
        <v>15</v>
      </c>
      <c r="B218">
        <v>1</v>
      </c>
      <c r="C218" t="s">
        <v>16</v>
      </c>
      <c r="D218">
        <v>5290.9</v>
      </c>
      <c r="E218">
        <v>2011</v>
      </c>
      <c r="F218">
        <v>8</v>
      </c>
      <c r="G218" t="s">
        <v>68</v>
      </c>
      <c r="H218" t="s">
        <v>73</v>
      </c>
    </row>
    <row r="219" spans="1:8" x14ac:dyDescent="0.3">
      <c r="A219" t="s">
        <v>15</v>
      </c>
      <c r="B219">
        <v>1</v>
      </c>
      <c r="C219" t="s">
        <v>16</v>
      </c>
      <c r="D219">
        <v>1026.5999999999999</v>
      </c>
      <c r="E219">
        <v>2012</v>
      </c>
      <c r="F219">
        <v>5</v>
      </c>
      <c r="G219" t="s">
        <v>68</v>
      </c>
      <c r="H219" t="s">
        <v>73</v>
      </c>
    </row>
    <row r="220" spans="1:8" x14ac:dyDescent="0.3">
      <c r="A220" t="s">
        <v>15</v>
      </c>
      <c r="B220">
        <v>1</v>
      </c>
      <c r="C220" t="s">
        <v>16</v>
      </c>
      <c r="D220">
        <v>2237.1999999999998</v>
      </c>
      <c r="E220">
        <v>2012</v>
      </c>
      <c r="F220">
        <v>9</v>
      </c>
      <c r="G220" t="s">
        <v>68</v>
      </c>
      <c r="H220" t="s">
        <v>73</v>
      </c>
    </row>
    <row r="221" spans="1:8" x14ac:dyDescent="0.3">
      <c r="A221" t="s">
        <v>15</v>
      </c>
      <c r="B221">
        <v>1</v>
      </c>
      <c r="C221" t="s">
        <v>16</v>
      </c>
      <c r="D221">
        <v>0</v>
      </c>
      <c r="E221">
        <v>2013</v>
      </c>
      <c r="F221">
        <v>6</v>
      </c>
      <c r="G221" t="s">
        <v>68</v>
      </c>
      <c r="H221" t="s">
        <v>73</v>
      </c>
    </row>
    <row r="222" spans="1:8" x14ac:dyDescent="0.3">
      <c r="A222" t="s">
        <v>15</v>
      </c>
      <c r="B222">
        <v>1</v>
      </c>
      <c r="C222" t="s">
        <v>16</v>
      </c>
      <c r="D222">
        <v>0</v>
      </c>
      <c r="E222">
        <v>2013</v>
      </c>
      <c r="F222">
        <v>8</v>
      </c>
      <c r="G222" t="s">
        <v>68</v>
      </c>
      <c r="H222" t="s">
        <v>73</v>
      </c>
    </row>
    <row r="223" spans="1:8" x14ac:dyDescent="0.3">
      <c r="A223" t="s">
        <v>17</v>
      </c>
      <c r="B223">
        <v>1</v>
      </c>
      <c r="C223" t="s">
        <v>18</v>
      </c>
      <c r="D223">
        <f>154/8.62</f>
        <v>17.865429234338748</v>
      </c>
      <c r="E223">
        <v>2007</v>
      </c>
      <c r="G223" t="s">
        <v>69</v>
      </c>
      <c r="H223" t="s">
        <v>67</v>
      </c>
    </row>
    <row r="224" spans="1:8" x14ac:dyDescent="0.3">
      <c r="A224" t="s">
        <v>17</v>
      </c>
      <c r="B224">
        <v>1</v>
      </c>
      <c r="C224" t="s">
        <v>18</v>
      </c>
      <c r="E224">
        <v>2008</v>
      </c>
      <c r="G224" t="s">
        <v>69</v>
      </c>
      <c r="H224" t="s">
        <v>67</v>
      </c>
    </row>
    <row r="225" spans="1:8" x14ac:dyDescent="0.3">
      <c r="A225" t="s">
        <v>17</v>
      </c>
      <c r="B225">
        <v>1</v>
      </c>
      <c r="C225" t="s">
        <v>18</v>
      </c>
      <c r="E225">
        <v>2009</v>
      </c>
      <c r="G225" t="s">
        <v>69</v>
      </c>
      <c r="H225" t="s">
        <v>67</v>
      </c>
    </row>
    <row r="226" spans="1:8" x14ac:dyDescent="0.3">
      <c r="A226" t="s">
        <v>17</v>
      </c>
      <c r="B226">
        <v>1</v>
      </c>
      <c r="C226" t="s">
        <v>18</v>
      </c>
      <c r="E226">
        <v>2010</v>
      </c>
      <c r="G226" t="s">
        <v>69</v>
      </c>
      <c r="H226" t="s">
        <v>67</v>
      </c>
    </row>
    <row r="227" spans="1:8" x14ac:dyDescent="0.3">
      <c r="A227" t="s">
        <v>17</v>
      </c>
      <c r="B227">
        <v>1</v>
      </c>
      <c r="C227" t="s">
        <v>18</v>
      </c>
      <c r="E227">
        <v>2011</v>
      </c>
      <c r="G227" t="s">
        <v>69</v>
      </c>
      <c r="H227" t="s">
        <v>67</v>
      </c>
    </row>
    <row r="228" spans="1:8" x14ac:dyDescent="0.3">
      <c r="A228" t="s">
        <v>17</v>
      </c>
      <c r="B228">
        <v>1</v>
      </c>
      <c r="C228" t="s">
        <v>18</v>
      </c>
      <c r="D228">
        <f>17/8.62</f>
        <v>1.97215777262181</v>
      </c>
      <c r="E228">
        <v>2012</v>
      </c>
      <c r="G228" t="s">
        <v>69</v>
      </c>
      <c r="H228" t="s">
        <v>67</v>
      </c>
    </row>
    <row r="229" spans="1:8" x14ac:dyDescent="0.3">
      <c r="A229" t="s">
        <v>17</v>
      </c>
      <c r="B229">
        <v>1</v>
      </c>
      <c r="C229" t="s">
        <v>18</v>
      </c>
      <c r="D229">
        <f>35/8.62</f>
        <v>4.0603248259860791</v>
      </c>
      <c r="E229">
        <v>2013</v>
      </c>
      <c r="G229" t="s">
        <v>69</v>
      </c>
      <c r="H229" t="s">
        <v>67</v>
      </c>
    </row>
    <row r="230" spans="1:8" x14ac:dyDescent="0.3">
      <c r="A230" t="s">
        <v>17</v>
      </c>
      <c r="B230">
        <v>1</v>
      </c>
      <c r="C230" t="s">
        <v>18</v>
      </c>
      <c r="D230">
        <f>14/8.62</f>
        <v>1.6241299303944317</v>
      </c>
      <c r="E230">
        <v>2014</v>
      </c>
      <c r="G230" t="s">
        <v>69</v>
      </c>
      <c r="H230" t="s">
        <v>67</v>
      </c>
    </row>
    <row r="231" spans="1:8" x14ac:dyDescent="0.3">
      <c r="A231" t="s">
        <v>20</v>
      </c>
      <c r="B231">
        <v>1</v>
      </c>
      <c r="C231" t="s">
        <v>19</v>
      </c>
      <c r="D231">
        <v>0</v>
      </c>
      <c r="E231">
        <v>1995</v>
      </c>
      <c r="G231" t="s">
        <v>72</v>
      </c>
      <c r="H231" t="s">
        <v>67</v>
      </c>
    </row>
    <row r="232" spans="1:8" x14ac:dyDescent="0.3">
      <c r="A232" t="s">
        <v>20</v>
      </c>
      <c r="B232">
        <v>1</v>
      </c>
      <c r="C232" t="s">
        <v>19</v>
      </c>
      <c r="E232">
        <v>1996</v>
      </c>
      <c r="G232" t="s">
        <v>72</v>
      </c>
      <c r="H232" t="s">
        <v>67</v>
      </c>
    </row>
    <row r="233" spans="1:8" x14ac:dyDescent="0.3">
      <c r="A233" t="s">
        <v>20</v>
      </c>
      <c r="B233">
        <v>1</v>
      </c>
      <c r="C233" t="s">
        <v>19</v>
      </c>
      <c r="E233">
        <v>1997</v>
      </c>
      <c r="G233" t="s">
        <v>72</v>
      </c>
      <c r="H233" t="s">
        <v>67</v>
      </c>
    </row>
    <row r="234" spans="1:8" x14ac:dyDescent="0.3">
      <c r="A234" t="s">
        <v>20</v>
      </c>
      <c r="B234">
        <v>1</v>
      </c>
      <c r="C234" t="s">
        <v>19</v>
      </c>
      <c r="E234">
        <v>1998</v>
      </c>
      <c r="G234" t="s">
        <v>72</v>
      </c>
      <c r="H234" t="s">
        <v>67</v>
      </c>
    </row>
    <row r="235" spans="1:8" x14ac:dyDescent="0.3">
      <c r="A235" t="s">
        <v>20</v>
      </c>
      <c r="B235">
        <v>1</v>
      </c>
      <c r="C235" t="s">
        <v>19</v>
      </c>
      <c r="D235">
        <v>0.2</v>
      </c>
      <c r="E235">
        <v>1999</v>
      </c>
      <c r="G235" t="s">
        <v>72</v>
      </c>
      <c r="H235" t="s">
        <v>67</v>
      </c>
    </row>
    <row r="236" spans="1:8" x14ac:dyDescent="0.3">
      <c r="A236" t="s">
        <v>20</v>
      </c>
      <c r="B236">
        <v>1</v>
      </c>
      <c r="C236" t="s">
        <v>19</v>
      </c>
      <c r="E236">
        <v>2000</v>
      </c>
      <c r="G236" t="s">
        <v>72</v>
      </c>
      <c r="H236" t="s">
        <v>67</v>
      </c>
    </row>
    <row r="237" spans="1:8" x14ac:dyDescent="0.3">
      <c r="A237" t="s">
        <v>20</v>
      </c>
      <c r="B237">
        <v>1</v>
      </c>
      <c r="C237" t="s">
        <v>19</v>
      </c>
      <c r="E237">
        <v>2001</v>
      </c>
      <c r="G237" t="s">
        <v>72</v>
      </c>
      <c r="H237" t="s">
        <v>67</v>
      </c>
    </row>
    <row r="238" spans="1:8" x14ac:dyDescent="0.3">
      <c r="A238" t="s">
        <v>20</v>
      </c>
      <c r="B238">
        <v>1</v>
      </c>
      <c r="C238" t="s">
        <v>19</v>
      </c>
      <c r="E238">
        <v>2002</v>
      </c>
      <c r="G238" t="s">
        <v>72</v>
      </c>
      <c r="H238" t="s">
        <v>67</v>
      </c>
    </row>
    <row r="239" spans="1:8" x14ac:dyDescent="0.3">
      <c r="A239" t="s">
        <v>20</v>
      </c>
      <c r="B239">
        <v>1</v>
      </c>
      <c r="C239" t="s">
        <v>19</v>
      </c>
      <c r="D239">
        <v>1.6</v>
      </c>
      <c r="E239">
        <v>2003</v>
      </c>
      <c r="G239" t="s">
        <v>72</v>
      </c>
      <c r="H239" t="s">
        <v>67</v>
      </c>
    </row>
    <row r="240" spans="1:8" x14ac:dyDescent="0.3">
      <c r="A240" t="s">
        <v>21</v>
      </c>
      <c r="B240">
        <v>1</v>
      </c>
      <c r="C240" t="s">
        <v>23</v>
      </c>
      <c r="D240">
        <v>1.1000000000000001</v>
      </c>
      <c r="E240">
        <v>1995</v>
      </c>
      <c r="G240" t="s">
        <v>72</v>
      </c>
      <c r="H240" t="s">
        <v>67</v>
      </c>
    </row>
    <row r="241" spans="1:8" x14ac:dyDescent="0.3">
      <c r="A241" t="s">
        <v>21</v>
      </c>
      <c r="B241">
        <v>1</v>
      </c>
      <c r="C241" t="s">
        <v>23</v>
      </c>
      <c r="E241">
        <v>1996</v>
      </c>
      <c r="G241" t="s">
        <v>72</v>
      </c>
      <c r="H241" t="s">
        <v>67</v>
      </c>
    </row>
    <row r="242" spans="1:8" x14ac:dyDescent="0.3">
      <c r="A242" t="s">
        <v>21</v>
      </c>
      <c r="B242">
        <v>1</v>
      </c>
      <c r="C242" t="s">
        <v>23</v>
      </c>
      <c r="E242">
        <v>1997</v>
      </c>
      <c r="G242" t="s">
        <v>72</v>
      </c>
      <c r="H242" t="s">
        <v>67</v>
      </c>
    </row>
    <row r="243" spans="1:8" x14ac:dyDescent="0.3">
      <c r="A243" t="s">
        <v>21</v>
      </c>
      <c r="B243">
        <v>1</v>
      </c>
      <c r="C243" t="s">
        <v>23</v>
      </c>
      <c r="E243">
        <v>1998</v>
      </c>
      <c r="G243" t="s">
        <v>72</v>
      </c>
      <c r="H243" t="s">
        <v>67</v>
      </c>
    </row>
    <row r="244" spans="1:8" x14ac:dyDescent="0.3">
      <c r="A244" t="s">
        <v>21</v>
      </c>
      <c r="B244">
        <v>1</v>
      </c>
      <c r="C244" t="s">
        <v>23</v>
      </c>
      <c r="D244">
        <v>1.5</v>
      </c>
      <c r="E244">
        <v>1999</v>
      </c>
      <c r="G244" t="s">
        <v>72</v>
      </c>
      <c r="H244" t="s">
        <v>67</v>
      </c>
    </row>
    <row r="245" spans="1:8" x14ac:dyDescent="0.3">
      <c r="A245" t="s">
        <v>21</v>
      </c>
      <c r="B245">
        <v>1</v>
      </c>
      <c r="C245" t="s">
        <v>23</v>
      </c>
      <c r="E245">
        <v>2000</v>
      </c>
      <c r="G245" t="s">
        <v>72</v>
      </c>
      <c r="H245" t="s">
        <v>67</v>
      </c>
    </row>
    <row r="246" spans="1:8" x14ac:dyDescent="0.3">
      <c r="A246" t="s">
        <v>21</v>
      </c>
      <c r="B246">
        <v>1</v>
      </c>
      <c r="C246" t="s">
        <v>23</v>
      </c>
      <c r="E246">
        <v>2001</v>
      </c>
      <c r="G246" t="s">
        <v>72</v>
      </c>
      <c r="H246" t="s">
        <v>67</v>
      </c>
    </row>
    <row r="247" spans="1:8" x14ac:dyDescent="0.3">
      <c r="A247" t="s">
        <v>21</v>
      </c>
      <c r="B247">
        <v>1</v>
      </c>
      <c r="C247" t="s">
        <v>23</v>
      </c>
      <c r="E247">
        <v>2002</v>
      </c>
      <c r="G247" t="s">
        <v>72</v>
      </c>
      <c r="H247" t="s">
        <v>67</v>
      </c>
    </row>
    <row r="248" spans="1:8" x14ac:dyDescent="0.3">
      <c r="A248" t="s">
        <v>21</v>
      </c>
      <c r="B248">
        <v>1</v>
      </c>
      <c r="C248" t="s">
        <v>23</v>
      </c>
      <c r="D248">
        <v>36.4</v>
      </c>
      <c r="E248">
        <v>2003</v>
      </c>
      <c r="G248" t="s">
        <v>72</v>
      </c>
      <c r="H248" t="s">
        <v>67</v>
      </c>
    </row>
    <row r="249" spans="1:8" x14ac:dyDescent="0.3">
      <c r="A249" t="s">
        <v>22</v>
      </c>
      <c r="B249">
        <v>1</v>
      </c>
      <c r="C249" t="s">
        <v>24</v>
      </c>
      <c r="D249">
        <v>0.3</v>
      </c>
      <c r="E249">
        <v>1995</v>
      </c>
      <c r="G249" t="s">
        <v>72</v>
      </c>
      <c r="H249" t="s">
        <v>67</v>
      </c>
    </row>
    <row r="250" spans="1:8" x14ac:dyDescent="0.3">
      <c r="A250" t="s">
        <v>22</v>
      </c>
      <c r="B250">
        <v>1</v>
      </c>
      <c r="C250" t="s">
        <v>24</v>
      </c>
      <c r="E250">
        <v>1996</v>
      </c>
      <c r="G250" t="s">
        <v>72</v>
      </c>
      <c r="H250" t="s">
        <v>67</v>
      </c>
    </row>
    <row r="251" spans="1:8" x14ac:dyDescent="0.3">
      <c r="A251" t="s">
        <v>22</v>
      </c>
      <c r="B251">
        <v>1</v>
      </c>
      <c r="C251" t="s">
        <v>24</v>
      </c>
      <c r="E251">
        <v>1997</v>
      </c>
      <c r="G251" t="s">
        <v>72</v>
      </c>
      <c r="H251" t="s">
        <v>67</v>
      </c>
    </row>
    <row r="252" spans="1:8" x14ac:dyDescent="0.3">
      <c r="A252" t="s">
        <v>22</v>
      </c>
      <c r="B252">
        <v>1</v>
      </c>
      <c r="C252" t="s">
        <v>24</v>
      </c>
      <c r="E252">
        <v>1998</v>
      </c>
      <c r="G252" t="s">
        <v>72</v>
      </c>
      <c r="H252" t="s">
        <v>67</v>
      </c>
    </row>
    <row r="253" spans="1:8" x14ac:dyDescent="0.3">
      <c r="A253" t="s">
        <v>22</v>
      </c>
      <c r="B253">
        <v>1</v>
      </c>
      <c r="C253" t="s">
        <v>24</v>
      </c>
      <c r="D253">
        <v>0.1</v>
      </c>
      <c r="E253">
        <v>1999</v>
      </c>
      <c r="G253" t="s">
        <v>72</v>
      </c>
      <c r="H253" t="s">
        <v>67</v>
      </c>
    </row>
    <row r="254" spans="1:8" x14ac:dyDescent="0.3">
      <c r="A254" t="s">
        <v>22</v>
      </c>
      <c r="B254">
        <v>1</v>
      </c>
      <c r="C254" t="s">
        <v>24</v>
      </c>
      <c r="E254">
        <v>2000</v>
      </c>
      <c r="G254" t="s">
        <v>72</v>
      </c>
      <c r="H254" t="s">
        <v>67</v>
      </c>
    </row>
    <row r="255" spans="1:8" x14ac:dyDescent="0.3">
      <c r="A255" t="s">
        <v>22</v>
      </c>
      <c r="B255">
        <v>1</v>
      </c>
      <c r="C255" t="s">
        <v>24</v>
      </c>
      <c r="E255">
        <v>2001</v>
      </c>
      <c r="G255" t="s">
        <v>72</v>
      </c>
      <c r="H255" t="s">
        <v>67</v>
      </c>
    </row>
    <row r="256" spans="1:8" x14ac:dyDescent="0.3">
      <c r="A256" t="s">
        <v>22</v>
      </c>
      <c r="B256">
        <v>1</v>
      </c>
      <c r="C256" t="s">
        <v>24</v>
      </c>
      <c r="E256">
        <v>2002</v>
      </c>
      <c r="G256" t="s">
        <v>72</v>
      </c>
      <c r="H256" t="s">
        <v>67</v>
      </c>
    </row>
    <row r="257" spans="1:8" x14ac:dyDescent="0.3">
      <c r="A257" t="s">
        <v>22</v>
      </c>
      <c r="B257">
        <v>1</v>
      </c>
      <c r="C257" t="s">
        <v>24</v>
      </c>
      <c r="D257">
        <v>1.35</v>
      </c>
      <c r="E257">
        <v>2003</v>
      </c>
      <c r="G257" t="s">
        <v>72</v>
      </c>
      <c r="H257" t="s">
        <v>67</v>
      </c>
    </row>
    <row r="258" spans="1:8" x14ac:dyDescent="0.3">
      <c r="A258" t="s">
        <v>25</v>
      </c>
      <c r="B258">
        <v>1</v>
      </c>
      <c r="D258">
        <v>0</v>
      </c>
      <c r="E258">
        <v>1958</v>
      </c>
      <c r="G258" t="s">
        <v>70</v>
      </c>
      <c r="H258" t="s">
        <v>67</v>
      </c>
    </row>
    <row r="259" spans="1:8" x14ac:dyDescent="0.3">
      <c r="A259" t="s">
        <v>25</v>
      </c>
      <c r="B259">
        <v>1</v>
      </c>
      <c r="E259">
        <v>1959</v>
      </c>
      <c r="G259" t="s">
        <v>70</v>
      </c>
      <c r="H259" t="s">
        <v>67</v>
      </c>
    </row>
    <row r="260" spans="1:8" x14ac:dyDescent="0.3">
      <c r="A260" t="s">
        <v>25</v>
      </c>
      <c r="B260">
        <v>1</v>
      </c>
      <c r="E260">
        <v>1960</v>
      </c>
      <c r="G260" t="s">
        <v>70</v>
      </c>
      <c r="H260" t="s">
        <v>67</v>
      </c>
    </row>
    <row r="261" spans="1:8" x14ac:dyDescent="0.3">
      <c r="A261" t="s">
        <v>25</v>
      </c>
      <c r="B261">
        <v>1</v>
      </c>
      <c r="E261">
        <v>1961</v>
      </c>
      <c r="G261" t="s">
        <v>70</v>
      </c>
      <c r="H261" t="s">
        <v>67</v>
      </c>
    </row>
    <row r="262" spans="1:8" x14ac:dyDescent="0.3">
      <c r="A262" t="s">
        <v>25</v>
      </c>
      <c r="B262">
        <v>1</v>
      </c>
      <c r="E262">
        <v>1962</v>
      </c>
      <c r="G262" t="s">
        <v>70</v>
      </c>
      <c r="H262" t="s">
        <v>67</v>
      </c>
    </row>
    <row r="263" spans="1:8" x14ac:dyDescent="0.3">
      <c r="A263" t="s">
        <v>25</v>
      </c>
      <c r="B263">
        <v>1</v>
      </c>
      <c r="D263">
        <v>0</v>
      </c>
      <c r="E263">
        <v>1963</v>
      </c>
      <c r="G263" t="s">
        <v>70</v>
      </c>
      <c r="H263" t="s">
        <v>67</v>
      </c>
    </row>
    <row r="264" spans="1:8" x14ac:dyDescent="0.3">
      <c r="A264" t="s">
        <v>25</v>
      </c>
      <c r="B264">
        <v>1</v>
      </c>
      <c r="D264">
        <v>0</v>
      </c>
      <c r="E264">
        <v>1964</v>
      </c>
      <c r="G264" t="s">
        <v>70</v>
      </c>
      <c r="H264" t="s">
        <v>67</v>
      </c>
    </row>
    <row r="265" spans="1:8" x14ac:dyDescent="0.3">
      <c r="A265" t="s">
        <v>25</v>
      </c>
      <c r="B265">
        <v>1</v>
      </c>
      <c r="D265">
        <v>0</v>
      </c>
      <c r="E265">
        <v>1965</v>
      </c>
      <c r="G265" t="s">
        <v>70</v>
      </c>
      <c r="H265" t="s">
        <v>67</v>
      </c>
    </row>
    <row r="266" spans="1:8" x14ac:dyDescent="0.3">
      <c r="A266" t="s">
        <v>25</v>
      </c>
      <c r="B266">
        <v>1</v>
      </c>
      <c r="D266">
        <v>0</v>
      </c>
      <c r="E266">
        <v>1966</v>
      </c>
      <c r="G266" t="s">
        <v>70</v>
      </c>
      <c r="H266" t="s">
        <v>67</v>
      </c>
    </row>
    <row r="267" spans="1:8" x14ac:dyDescent="0.3">
      <c r="A267" t="s">
        <v>25</v>
      </c>
      <c r="B267">
        <v>1</v>
      </c>
      <c r="D267">
        <v>0</v>
      </c>
      <c r="E267">
        <v>1967</v>
      </c>
      <c r="G267" t="s">
        <v>70</v>
      </c>
      <c r="H267" t="s">
        <v>67</v>
      </c>
    </row>
    <row r="268" spans="1:8" x14ac:dyDescent="0.3">
      <c r="A268" t="s">
        <v>25</v>
      </c>
      <c r="B268">
        <v>1</v>
      </c>
      <c r="E268">
        <v>1968</v>
      </c>
      <c r="G268" t="s">
        <v>70</v>
      </c>
      <c r="H268" t="s">
        <v>67</v>
      </c>
    </row>
    <row r="269" spans="1:8" x14ac:dyDescent="0.3">
      <c r="A269" t="s">
        <v>25</v>
      </c>
      <c r="B269">
        <v>1</v>
      </c>
      <c r="D269">
        <v>0</v>
      </c>
      <c r="E269">
        <v>1969</v>
      </c>
      <c r="G269" t="s">
        <v>70</v>
      </c>
      <c r="H269" t="s">
        <v>67</v>
      </c>
    </row>
    <row r="270" spans="1:8" x14ac:dyDescent="0.3">
      <c r="A270" t="s">
        <v>25</v>
      </c>
      <c r="B270">
        <v>1</v>
      </c>
      <c r="E270">
        <v>1970</v>
      </c>
      <c r="G270" t="s">
        <v>70</v>
      </c>
      <c r="H270" t="s">
        <v>67</v>
      </c>
    </row>
    <row r="271" spans="1:8" x14ac:dyDescent="0.3">
      <c r="A271" t="s">
        <v>25</v>
      </c>
      <c r="B271">
        <v>1</v>
      </c>
      <c r="E271">
        <v>1971</v>
      </c>
      <c r="G271" t="s">
        <v>70</v>
      </c>
      <c r="H271" t="s">
        <v>67</v>
      </c>
    </row>
    <row r="272" spans="1:8" x14ac:dyDescent="0.3">
      <c r="A272" t="s">
        <v>25</v>
      </c>
      <c r="B272">
        <v>1</v>
      </c>
      <c r="E272">
        <v>1972</v>
      </c>
      <c r="G272" t="s">
        <v>70</v>
      </c>
      <c r="H272" t="s">
        <v>67</v>
      </c>
    </row>
    <row r="273" spans="1:8" x14ac:dyDescent="0.3">
      <c r="A273" t="s">
        <v>25</v>
      </c>
      <c r="B273">
        <v>1</v>
      </c>
      <c r="E273">
        <v>1973</v>
      </c>
      <c r="G273" t="s">
        <v>70</v>
      </c>
      <c r="H273" t="s">
        <v>67</v>
      </c>
    </row>
    <row r="274" spans="1:8" x14ac:dyDescent="0.3">
      <c r="A274" t="s">
        <v>25</v>
      </c>
      <c r="B274">
        <v>1</v>
      </c>
      <c r="E274">
        <v>1974</v>
      </c>
      <c r="G274" t="s">
        <v>70</v>
      </c>
      <c r="H274" t="s">
        <v>67</v>
      </c>
    </row>
    <row r="275" spans="1:8" x14ac:dyDescent="0.3">
      <c r="A275" t="s">
        <v>25</v>
      </c>
      <c r="B275">
        <v>1</v>
      </c>
      <c r="D275">
        <v>12.72</v>
      </c>
      <c r="E275">
        <v>1975</v>
      </c>
      <c r="G275" t="s">
        <v>70</v>
      </c>
      <c r="H275" t="s">
        <v>67</v>
      </c>
    </row>
    <row r="276" spans="1:8" x14ac:dyDescent="0.3">
      <c r="A276" t="s">
        <v>25</v>
      </c>
      <c r="B276">
        <v>1</v>
      </c>
      <c r="E276">
        <v>1976</v>
      </c>
      <c r="G276" t="s">
        <v>70</v>
      </c>
      <c r="H276" t="s">
        <v>67</v>
      </c>
    </row>
    <row r="277" spans="1:8" x14ac:dyDescent="0.3">
      <c r="A277" t="s">
        <v>25</v>
      </c>
      <c r="B277">
        <v>1</v>
      </c>
      <c r="E277">
        <v>1977</v>
      </c>
      <c r="G277" t="s">
        <v>70</v>
      </c>
      <c r="H277" t="s">
        <v>67</v>
      </c>
    </row>
    <row r="278" spans="1:8" x14ac:dyDescent="0.3">
      <c r="A278" t="s">
        <v>25</v>
      </c>
      <c r="B278">
        <v>1</v>
      </c>
      <c r="E278">
        <v>1978</v>
      </c>
      <c r="G278" t="s">
        <v>70</v>
      </c>
      <c r="H278" t="s">
        <v>67</v>
      </c>
    </row>
    <row r="279" spans="1:8" x14ac:dyDescent="0.3">
      <c r="A279" t="s">
        <v>25</v>
      </c>
      <c r="B279">
        <v>1</v>
      </c>
      <c r="D279">
        <v>2324.4</v>
      </c>
      <c r="E279">
        <v>1979</v>
      </c>
      <c r="G279" t="s">
        <v>70</v>
      </c>
      <c r="H279" t="s">
        <v>67</v>
      </c>
    </row>
    <row r="280" spans="1:8" x14ac:dyDescent="0.3">
      <c r="A280" t="s">
        <v>25</v>
      </c>
      <c r="B280">
        <v>1</v>
      </c>
      <c r="D280">
        <v>5643.24</v>
      </c>
      <c r="E280">
        <v>1980</v>
      </c>
      <c r="G280" t="s">
        <v>70</v>
      </c>
      <c r="H280" t="s">
        <v>67</v>
      </c>
    </row>
    <row r="281" spans="1:8" x14ac:dyDescent="0.3">
      <c r="A281" t="s">
        <v>25</v>
      </c>
      <c r="B281">
        <v>1</v>
      </c>
      <c r="E281">
        <v>1981</v>
      </c>
      <c r="G281" t="s">
        <v>70</v>
      </c>
      <c r="H281" t="s">
        <v>67</v>
      </c>
    </row>
    <row r="282" spans="1:8" x14ac:dyDescent="0.3">
      <c r="A282" t="s">
        <v>25</v>
      </c>
      <c r="B282">
        <v>1</v>
      </c>
      <c r="D282">
        <v>1231.46</v>
      </c>
      <c r="E282">
        <v>1982</v>
      </c>
      <c r="G282" t="s">
        <v>70</v>
      </c>
      <c r="H282" t="s">
        <v>67</v>
      </c>
    </row>
    <row r="283" spans="1:8" x14ac:dyDescent="0.3">
      <c r="A283" t="s">
        <v>25</v>
      </c>
      <c r="B283">
        <v>1</v>
      </c>
      <c r="D283">
        <v>41057.1</v>
      </c>
      <c r="E283">
        <v>1983</v>
      </c>
      <c r="G283" t="s">
        <v>70</v>
      </c>
      <c r="H283" t="s">
        <v>67</v>
      </c>
    </row>
    <row r="284" spans="1:8" x14ac:dyDescent="0.3">
      <c r="A284" t="s">
        <v>25</v>
      </c>
      <c r="B284">
        <v>1</v>
      </c>
      <c r="E284">
        <v>1984</v>
      </c>
      <c r="G284" t="s">
        <v>70</v>
      </c>
      <c r="H284" t="s">
        <v>67</v>
      </c>
    </row>
    <row r="285" spans="1:8" x14ac:dyDescent="0.3">
      <c r="A285" t="s">
        <v>25</v>
      </c>
      <c r="B285">
        <v>1</v>
      </c>
      <c r="E285">
        <v>1985</v>
      </c>
      <c r="G285" t="s">
        <v>70</v>
      </c>
      <c r="H285" t="s">
        <v>67</v>
      </c>
    </row>
    <row r="286" spans="1:8" x14ac:dyDescent="0.3">
      <c r="A286" t="s">
        <v>25</v>
      </c>
      <c r="B286">
        <v>1</v>
      </c>
      <c r="E286">
        <v>1986</v>
      </c>
      <c r="G286" t="s">
        <v>70</v>
      </c>
      <c r="H286" t="s">
        <v>67</v>
      </c>
    </row>
    <row r="287" spans="1:8" x14ac:dyDescent="0.3">
      <c r="A287" t="s">
        <v>25</v>
      </c>
      <c r="B287">
        <v>1</v>
      </c>
      <c r="E287">
        <v>1987</v>
      </c>
      <c r="G287" t="s">
        <v>70</v>
      </c>
      <c r="H287" t="s">
        <v>67</v>
      </c>
    </row>
    <row r="288" spans="1:8" x14ac:dyDescent="0.3">
      <c r="A288" t="s">
        <v>25</v>
      </c>
      <c r="B288">
        <v>1</v>
      </c>
      <c r="E288">
        <v>1988</v>
      </c>
      <c r="G288" t="s">
        <v>70</v>
      </c>
      <c r="H288" t="s">
        <v>67</v>
      </c>
    </row>
    <row r="289" spans="1:8" x14ac:dyDescent="0.3">
      <c r="A289" t="s">
        <v>25</v>
      </c>
      <c r="B289">
        <v>1</v>
      </c>
      <c r="E289">
        <v>1989</v>
      </c>
      <c r="G289" t="s">
        <v>70</v>
      </c>
      <c r="H289" t="s">
        <v>67</v>
      </c>
    </row>
    <row r="290" spans="1:8" x14ac:dyDescent="0.3">
      <c r="A290" t="s">
        <v>25</v>
      </c>
      <c r="B290">
        <v>1</v>
      </c>
      <c r="E290">
        <v>1990</v>
      </c>
      <c r="G290" t="s">
        <v>70</v>
      </c>
      <c r="H290" t="s">
        <v>67</v>
      </c>
    </row>
    <row r="291" spans="1:8" x14ac:dyDescent="0.3">
      <c r="A291" t="s">
        <v>25</v>
      </c>
      <c r="B291">
        <v>1</v>
      </c>
      <c r="E291">
        <v>1991</v>
      </c>
      <c r="G291" t="s">
        <v>70</v>
      </c>
      <c r="H291" t="s">
        <v>67</v>
      </c>
    </row>
    <row r="292" spans="1:8" x14ac:dyDescent="0.3">
      <c r="A292" t="s">
        <v>25</v>
      </c>
      <c r="B292">
        <v>1</v>
      </c>
      <c r="E292">
        <v>1992</v>
      </c>
      <c r="G292" t="s">
        <v>70</v>
      </c>
      <c r="H292" t="s">
        <v>67</v>
      </c>
    </row>
    <row r="293" spans="1:8" x14ac:dyDescent="0.3">
      <c r="A293" t="s">
        <v>25</v>
      </c>
      <c r="B293">
        <v>1</v>
      </c>
      <c r="E293">
        <v>1993</v>
      </c>
      <c r="G293" t="s">
        <v>70</v>
      </c>
      <c r="H293" t="s">
        <v>67</v>
      </c>
    </row>
    <row r="294" spans="1:8" x14ac:dyDescent="0.3">
      <c r="A294" t="s">
        <v>25</v>
      </c>
      <c r="B294">
        <v>1</v>
      </c>
      <c r="E294">
        <v>1994</v>
      </c>
      <c r="G294" t="s">
        <v>70</v>
      </c>
      <c r="H294" t="s">
        <v>67</v>
      </c>
    </row>
    <row r="295" spans="1:8" x14ac:dyDescent="0.3">
      <c r="A295" t="s">
        <v>25</v>
      </c>
      <c r="B295">
        <v>1</v>
      </c>
      <c r="E295">
        <v>1995</v>
      </c>
      <c r="G295" t="s">
        <v>70</v>
      </c>
      <c r="H295" t="s">
        <v>67</v>
      </c>
    </row>
    <row r="296" spans="1:8" x14ac:dyDescent="0.3">
      <c r="A296" t="s">
        <v>25</v>
      </c>
      <c r="B296">
        <v>1</v>
      </c>
      <c r="E296">
        <v>1996</v>
      </c>
      <c r="G296" t="s">
        <v>70</v>
      </c>
      <c r="H296" t="s">
        <v>67</v>
      </c>
    </row>
    <row r="297" spans="1:8" x14ac:dyDescent="0.3">
      <c r="A297" t="s">
        <v>25</v>
      </c>
      <c r="B297">
        <v>1</v>
      </c>
      <c r="E297">
        <v>1997</v>
      </c>
      <c r="G297" t="s">
        <v>70</v>
      </c>
      <c r="H297" t="s">
        <v>67</v>
      </c>
    </row>
    <row r="298" spans="1:8" x14ac:dyDescent="0.3">
      <c r="A298" t="s">
        <v>25</v>
      </c>
      <c r="B298">
        <v>1</v>
      </c>
      <c r="E298">
        <v>1998</v>
      </c>
      <c r="G298" t="s">
        <v>70</v>
      </c>
      <c r="H298" t="s">
        <v>67</v>
      </c>
    </row>
    <row r="299" spans="1:8" x14ac:dyDescent="0.3">
      <c r="A299" t="s">
        <v>25</v>
      </c>
      <c r="B299">
        <v>1</v>
      </c>
      <c r="D299">
        <v>3698.52</v>
      </c>
      <c r="E299">
        <v>1999</v>
      </c>
      <c r="G299" t="s">
        <v>70</v>
      </c>
      <c r="H299" t="s">
        <v>67</v>
      </c>
    </row>
    <row r="300" spans="1:8" x14ac:dyDescent="0.3">
      <c r="A300" t="s">
        <v>25</v>
      </c>
      <c r="B300">
        <v>1</v>
      </c>
      <c r="D300">
        <v>0</v>
      </c>
      <c r="E300">
        <v>2000</v>
      </c>
      <c r="G300" t="s">
        <v>70</v>
      </c>
      <c r="H300" t="s">
        <v>67</v>
      </c>
    </row>
    <row r="301" spans="1:8" x14ac:dyDescent="0.3">
      <c r="A301" t="s">
        <v>25</v>
      </c>
      <c r="B301">
        <v>1</v>
      </c>
      <c r="E301">
        <v>2001</v>
      </c>
      <c r="G301" t="s">
        <v>70</v>
      </c>
      <c r="H301" t="s">
        <v>67</v>
      </c>
    </row>
    <row r="302" spans="1:8" x14ac:dyDescent="0.3">
      <c r="A302" t="s">
        <v>25</v>
      </c>
      <c r="B302">
        <v>1</v>
      </c>
      <c r="D302">
        <v>103.38</v>
      </c>
      <c r="E302">
        <v>2002</v>
      </c>
      <c r="G302" t="s">
        <v>70</v>
      </c>
      <c r="H302" t="s">
        <v>67</v>
      </c>
    </row>
    <row r="303" spans="1:8" x14ac:dyDescent="0.3">
      <c r="A303" t="s">
        <v>25</v>
      </c>
      <c r="B303">
        <v>1</v>
      </c>
      <c r="D303">
        <v>796.80000000000007</v>
      </c>
      <c r="E303">
        <v>2003</v>
      </c>
      <c r="G303" t="s">
        <v>70</v>
      </c>
      <c r="H303" t="s">
        <v>67</v>
      </c>
    </row>
    <row r="304" spans="1:8" x14ac:dyDescent="0.3">
      <c r="A304" t="s">
        <v>25</v>
      </c>
      <c r="B304">
        <v>1</v>
      </c>
      <c r="D304">
        <v>3198</v>
      </c>
      <c r="E304">
        <v>2004</v>
      </c>
      <c r="G304" t="s">
        <v>70</v>
      </c>
      <c r="H304" t="s">
        <v>67</v>
      </c>
    </row>
    <row r="305" spans="1:8" x14ac:dyDescent="0.3">
      <c r="A305" t="s">
        <v>26</v>
      </c>
      <c r="B305">
        <v>1</v>
      </c>
      <c r="D305">
        <v>119.97</v>
      </c>
      <c r="E305">
        <v>1958</v>
      </c>
      <c r="G305" t="s">
        <v>70</v>
      </c>
      <c r="H305" t="s">
        <v>67</v>
      </c>
    </row>
    <row r="306" spans="1:8" x14ac:dyDescent="0.3">
      <c r="A306" t="s">
        <v>26</v>
      </c>
      <c r="B306">
        <v>1</v>
      </c>
      <c r="E306">
        <v>1959</v>
      </c>
      <c r="G306" t="s">
        <v>70</v>
      </c>
      <c r="H306" t="s">
        <v>67</v>
      </c>
    </row>
    <row r="307" spans="1:8" x14ac:dyDescent="0.3">
      <c r="A307" t="s">
        <v>26</v>
      </c>
      <c r="B307">
        <v>1</v>
      </c>
      <c r="E307">
        <v>1960</v>
      </c>
      <c r="G307" t="s">
        <v>70</v>
      </c>
      <c r="H307" t="s">
        <v>67</v>
      </c>
    </row>
    <row r="308" spans="1:8" x14ac:dyDescent="0.3">
      <c r="A308" t="s">
        <v>26</v>
      </c>
      <c r="B308">
        <v>1</v>
      </c>
      <c r="E308">
        <v>1961</v>
      </c>
      <c r="G308" t="s">
        <v>70</v>
      </c>
      <c r="H308" t="s">
        <v>67</v>
      </c>
    </row>
    <row r="309" spans="1:8" x14ac:dyDescent="0.3">
      <c r="A309" t="s">
        <v>26</v>
      </c>
      <c r="B309">
        <v>1</v>
      </c>
      <c r="E309">
        <v>1962</v>
      </c>
      <c r="G309" t="s">
        <v>70</v>
      </c>
      <c r="H309" t="s">
        <v>67</v>
      </c>
    </row>
    <row r="310" spans="1:8" x14ac:dyDescent="0.3">
      <c r="A310" t="s">
        <v>26</v>
      </c>
      <c r="B310">
        <v>1</v>
      </c>
      <c r="D310">
        <v>31.68</v>
      </c>
      <c r="E310">
        <v>1963</v>
      </c>
      <c r="G310" t="s">
        <v>70</v>
      </c>
      <c r="H310" t="s">
        <v>67</v>
      </c>
    </row>
    <row r="311" spans="1:8" x14ac:dyDescent="0.3">
      <c r="A311" t="s">
        <v>26</v>
      </c>
      <c r="B311">
        <v>1</v>
      </c>
      <c r="D311">
        <v>16515.96</v>
      </c>
      <c r="E311">
        <v>1964</v>
      </c>
      <c r="G311" t="s">
        <v>70</v>
      </c>
      <c r="H311" t="s">
        <v>67</v>
      </c>
    </row>
    <row r="312" spans="1:8" x14ac:dyDescent="0.3">
      <c r="A312" t="s">
        <v>26</v>
      </c>
      <c r="B312">
        <v>1</v>
      </c>
      <c r="D312">
        <v>41121.21</v>
      </c>
      <c r="E312">
        <v>1965</v>
      </c>
      <c r="G312" t="s">
        <v>70</v>
      </c>
      <c r="H312" t="s">
        <v>67</v>
      </c>
    </row>
    <row r="313" spans="1:8" x14ac:dyDescent="0.3">
      <c r="A313" t="s">
        <v>26</v>
      </c>
      <c r="B313">
        <v>1</v>
      </c>
      <c r="D313">
        <v>8405.7999999999993</v>
      </c>
      <c r="E313">
        <v>1966</v>
      </c>
      <c r="G313" t="s">
        <v>70</v>
      </c>
      <c r="H313" t="s">
        <v>67</v>
      </c>
    </row>
    <row r="314" spans="1:8" x14ac:dyDescent="0.3">
      <c r="A314" t="s">
        <v>26</v>
      </c>
      <c r="B314">
        <v>1</v>
      </c>
      <c r="D314">
        <v>16549.620000000003</v>
      </c>
      <c r="E314">
        <v>1967</v>
      </c>
      <c r="G314" t="s">
        <v>70</v>
      </c>
      <c r="H314" t="s">
        <v>67</v>
      </c>
    </row>
    <row r="315" spans="1:8" x14ac:dyDescent="0.3">
      <c r="A315" t="s">
        <v>26</v>
      </c>
      <c r="B315">
        <v>1</v>
      </c>
      <c r="E315">
        <v>1968</v>
      </c>
      <c r="G315" t="s">
        <v>70</v>
      </c>
      <c r="H315" t="s">
        <v>67</v>
      </c>
    </row>
    <row r="316" spans="1:8" x14ac:dyDescent="0.3">
      <c r="A316" t="s">
        <v>26</v>
      </c>
      <c r="B316">
        <v>1</v>
      </c>
      <c r="D316">
        <v>6449.32</v>
      </c>
      <c r="E316">
        <v>1969</v>
      </c>
      <c r="G316" t="s">
        <v>70</v>
      </c>
      <c r="H316" t="s">
        <v>67</v>
      </c>
    </row>
    <row r="317" spans="1:8" x14ac:dyDescent="0.3">
      <c r="A317" t="s">
        <v>26</v>
      </c>
      <c r="B317">
        <v>1</v>
      </c>
      <c r="E317">
        <v>1970</v>
      </c>
      <c r="G317" t="s">
        <v>70</v>
      </c>
      <c r="H317" t="s">
        <v>67</v>
      </c>
    </row>
    <row r="318" spans="1:8" x14ac:dyDescent="0.3">
      <c r="A318" t="s">
        <v>26</v>
      </c>
      <c r="B318">
        <v>1</v>
      </c>
      <c r="E318">
        <v>1971</v>
      </c>
      <c r="G318" t="s">
        <v>70</v>
      </c>
      <c r="H318" t="s">
        <v>67</v>
      </c>
    </row>
    <row r="319" spans="1:8" x14ac:dyDescent="0.3">
      <c r="A319" t="s">
        <v>26</v>
      </c>
      <c r="B319">
        <v>1</v>
      </c>
      <c r="E319">
        <v>1972</v>
      </c>
      <c r="G319" t="s">
        <v>70</v>
      </c>
      <c r="H319" t="s">
        <v>67</v>
      </c>
    </row>
    <row r="320" spans="1:8" x14ac:dyDescent="0.3">
      <c r="A320" t="s">
        <v>26</v>
      </c>
      <c r="B320">
        <v>1</v>
      </c>
      <c r="E320">
        <v>1973</v>
      </c>
      <c r="G320" t="s">
        <v>70</v>
      </c>
      <c r="H320" t="s">
        <v>67</v>
      </c>
    </row>
    <row r="321" spans="1:8" x14ac:dyDescent="0.3">
      <c r="A321" t="s">
        <v>26</v>
      </c>
      <c r="B321">
        <v>1</v>
      </c>
      <c r="E321">
        <v>1974</v>
      </c>
      <c r="G321" t="s">
        <v>70</v>
      </c>
      <c r="H321" t="s">
        <v>67</v>
      </c>
    </row>
    <row r="322" spans="1:8" x14ac:dyDescent="0.3">
      <c r="A322" t="s">
        <v>26</v>
      </c>
      <c r="B322">
        <v>1</v>
      </c>
      <c r="D322">
        <v>79.5</v>
      </c>
      <c r="E322">
        <v>1975</v>
      </c>
      <c r="G322" t="s">
        <v>70</v>
      </c>
      <c r="H322" t="s">
        <v>67</v>
      </c>
    </row>
    <row r="323" spans="1:8" x14ac:dyDescent="0.3">
      <c r="A323" t="s">
        <v>26</v>
      </c>
      <c r="B323">
        <v>1</v>
      </c>
      <c r="E323">
        <v>1976</v>
      </c>
      <c r="G323" t="s">
        <v>70</v>
      </c>
      <c r="H323" t="s">
        <v>67</v>
      </c>
    </row>
    <row r="324" spans="1:8" x14ac:dyDescent="0.3">
      <c r="A324" t="s">
        <v>26</v>
      </c>
      <c r="B324">
        <v>1</v>
      </c>
      <c r="E324">
        <v>1977</v>
      </c>
      <c r="G324" t="s">
        <v>70</v>
      </c>
      <c r="H324" t="s">
        <v>67</v>
      </c>
    </row>
    <row r="325" spans="1:8" x14ac:dyDescent="0.3">
      <c r="A325" t="s">
        <v>26</v>
      </c>
      <c r="B325">
        <v>1</v>
      </c>
      <c r="E325">
        <v>1978</v>
      </c>
      <c r="G325" t="s">
        <v>70</v>
      </c>
      <c r="H325" t="s">
        <v>67</v>
      </c>
    </row>
    <row r="326" spans="1:8" x14ac:dyDescent="0.3">
      <c r="A326" t="s">
        <v>26</v>
      </c>
      <c r="B326">
        <v>1</v>
      </c>
      <c r="D326">
        <v>71.52</v>
      </c>
      <c r="E326">
        <v>1979</v>
      </c>
      <c r="G326" t="s">
        <v>70</v>
      </c>
      <c r="H326" t="s">
        <v>67</v>
      </c>
    </row>
    <row r="327" spans="1:8" x14ac:dyDescent="0.3">
      <c r="A327" t="s">
        <v>26</v>
      </c>
      <c r="B327">
        <v>1</v>
      </c>
      <c r="D327">
        <v>1092.24</v>
      </c>
      <c r="E327">
        <v>1980</v>
      </c>
      <c r="G327" t="s">
        <v>70</v>
      </c>
      <c r="H327" t="s">
        <v>67</v>
      </c>
    </row>
    <row r="328" spans="1:8" x14ac:dyDescent="0.3">
      <c r="A328" t="s">
        <v>26</v>
      </c>
      <c r="B328">
        <v>1</v>
      </c>
      <c r="E328">
        <v>1981</v>
      </c>
      <c r="G328" t="s">
        <v>70</v>
      </c>
      <c r="H328" t="s">
        <v>67</v>
      </c>
    </row>
    <row r="329" spans="1:8" x14ac:dyDescent="0.3">
      <c r="A329" t="s">
        <v>26</v>
      </c>
      <c r="B329">
        <v>1</v>
      </c>
      <c r="D329">
        <v>36.76</v>
      </c>
      <c r="E329">
        <v>1982</v>
      </c>
      <c r="G329" t="s">
        <v>70</v>
      </c>
      <c r="H329" t="s">
        <v>67</v>
      </c>
    </row>
    <row r="330" spans="1:8" x14ac:dyDescent="0.3">
      <c r="A330" t="s">
        <v>26</v>
      </c>
      <c r="B330">
        <v>1</v>
      </c>
      <c r="D330">
        <v>3234.54</v>
      </c>
      <c r="E330">
        <v>1983</v>
      </c>
      <c r="G330" t="s">
        <v>70</v>
      </c>
      <c r="H330" t="s">
        <v>67</v>
      </c>
    </row>
    <row r="331" spans="1:8" x14ac:dyDescent="0.3">
      <c r="A331" t="s">
        <v>26</v>
      </c>
      <c r="B331">
        <v>1</v>
      </c>
      <c r="E331">
        <v>1984</v>
      </c>
      <c r="G331" t="s">
        <v>70</v>
      </c>
      <c r="H331" t="s">
        <v>67</v>
      </c>
    </row>
    <row r="332" spans="1:8" x14ac:dyDescent="0.3">
      <c r="A332" t="s">
        <v>26</v>
      </c>
      <c r="B332">
        <v>1</v>
      </c>
      <c r="E332">
        <v>1985</v>
      </c>
      <c r="G332" t="s">
        <v>70</v>
      </c>
      <c r="H332" t="s">
        <v>67</v>
      </c>
    </row>
    <row r="333" spans="1:8" x14ac:dyDescent="0.3">
      <c r="A333" t="s">
        <v>26</v>
      </c>
      <c r="B333">
        <v>1</v>
      </c>
      <c r="E333">
        <v>1986</v>
      </c>
      <c r="G333" t="s">
        <v>70</v>
      </c>
      <c r="H333" t="s">
        <v>67</v>
      </c>
    </row>
    <row r="334" spans="1:8" x14ac:dyDescent="0.3">
      <c r="A334" t="s">
        <v>26</v>
      </c>
      <c r="B334">
        <v>1</v>
      </c>
      <c r="E334">
        <v>1987</v>
      </c>
      <c r="G334" t="s">
        <v>70</v>
      </c>
      <c r="H334" t="s">
        <v>67</v>
      </c>
    </row>
    <row r="335" spans="1:8" x14ac:dyDescent="0.3">
      <c r="A335" t="s">
        <v>26</v>
      </c>
      <c r="B335">
        <v>1</v>
      </c>
      <c r="E335">
        <v>1988</v>
      </c>
      <c r="G335" t="s">
        <v>70</v>
      </c>
      <c r="H335" t="s">
        <v>67</v>
      </c>
    </row>
    <row r="336" spans="1:8" x14ac:dyDescent="0.3">
      <c r="A336" t="s">
        <v>26</v>
      </c>
      <c r="B336">
        <v>1</v>
      </c>
      <c r="E336">
        <v>1989</v>
      </c>
      <c r="G336" t="s">
        <v>70</v>
      </c>
      <c r="H336" t="s">
        <v>67</v>
      </c>
    </row>
    <row r="337" spans="1:8" x14ac:dyDescent="0.3">
      <c r="A337" t="s">
        <v>26</v>
      </c>
      <c r="B337">
        <v>1</v>
      </c>
      <c r="E337">
        <v>1990</v>
      </c>
      <c r="G337" t="s">
        <v>70</v>
      </c>
      <c r="H337" t="s">
        <v>67</v>
      </c>
    </row>
    <row r="338" spans="1:8" x14ac:dyDescent="0.3">
      <c r="A338" t="s">
        <v>26</v>
      </c>
      <c r="B338">
        <v>1</v>
      </c>
      <c r="E338">
        <v>1991</v>
      </c>
      <c r="G338" t="s">
        <v>70</v>
      </c>
      <c r="H338" t="s">
        <v>67</v>
      </c>
    </row>
    <row r="339" spans="1:8" x14ac:dyDescent="0.3">
      <c r="A339" t="s">
        <v>26</v>
      </c>
      <c r="B339">
        <v>1</v>
      </c>
      <c r="E339">
        <v>1992</v>
      </c>
      <c r="G339" t="s">
        <v>70</v>
      </c>
      <c r="H339" t="s">
        <v>67</v>
      </c>
    </row>
    <row r="340" spans="1:8" x14ac:dyDescent="0.3">
      <c r="A340" t="s">
        <v>26</v>
      </c>
      <c r="B340">
        <v>1</v>
      </c>
      <c r="E340">
        <v>1993</v>
      </c>
      <c r="G340" t="s">
        <v>70</v>
      </c>
      <c r="H340" t="s">
        <v>67</v>
      </c>
    </row>
    <row r="341" spans="1:8" x14ac:dyDescent="0.3">
      <c r="A341" t="s">
        <v>26</v>
      </c>
      <c r="B341">
        <v>1</v>
      </c>
      <c r="E341">
        <v>1994</v>
      </c>
      <c r="G341" t="s">
        <v>70</v>
      </c>
      <c r="H341" t="s">
        <v>67</v>
      </c>
    </row>
    <row r="342" spans="1:8" x14ac:dyDescent="0.3">
      <c r="A342" t="s">
        <v>26</v>
      </c>
      <c r="B342">
        <v>1</v>
      </c>
      <c r="E342">
        <v>1995</v>
      </c>
      <c r="G342" t="s">
        <v>70</v>
      </c>
      <c r="H342" t="s">
        <v>67</v>
      </c>
    </row>
    <row r="343" spans="1:8" x14ac:dyDescent="0.3">
      <c r="A343" t="s">
        <v>26</v>
      </c>
      <c r="B343">
        <v>1</v>
      </c>
      <c r="E343">
        <v>1996</v>
      </c>
      <c r="G343" t="s">
        <v>70</v>
      </c>
      <c r="H343" t="s">
        <v>67</v>
      </c>
    </row>
    <row r="344" spans="1:8" x14ac:dyDescent="0.3">
      <c r="A344" t="s">
        <v>26</v>
      </c>
      <c r="B344">
        <v>1</v>
      </c>
      <c r="E344">
        <v>1997</v>
      </c>
      <c r="G344" t="s">
        <v>70</v>
      </c>
      <c r="H344" t="s">
        <v>67</v>
      </c>
    </row>
    <row r="345" spans="1:8" x14ac:dyDescent="0.3">
      <c r="A345" t="s">
        <v>26</v>
      </c>
      <c r="B345">
        <v>1</v>
      </c>
      <c r="E345">
        <v>1998</v>
      </c>
      <c r="G345" t="s">
        <v>70</v>
      </c>
      <c r="H345" t="s">
        <v>67</v>
      </c>
    </row>
    <row r="346" spans="1:8" x14ac:dyDescent="0.3">
      <c r="A346" t="s">
        <v>26</v>
      </c>
      <c r="B346">
        <v>1</v>
      </c>
      <c r="D346">
        <v>271.72799999999995</v>
      </c>
      <c r="E346">
        <v>1999</v>
      </c>
      <c r="G346" t="s">
        <v>70</v>
      </c>
      <c r="H346" t="s">
        <v>67</v>
      </c>
    </row>
    <row r="347" spans="1:8" x14ac:dyDescent="0.3">
      <c r="A347" t="s">
        <v>26</v>
      </c>
      <c r="B347">
        <v>1</v>
      </c>
      <c r="D347">
        <v>0</v>
      </c>
      <c r="E347">
        <v>2000</v>
      </c>
      <c r="G347" t="s">
        <v>70</v>
      </c>
      <c r="H347" t="s">
        <v>67</v>
      </c>
    </row>
    <row r="348" spans="1:8" x14ac:dyDescent="0.3">
      <c r="A348" t="s">
        <v>26</v>
      </c>
      <c r="B348">
        <v>1</v>
      </c>
      <c r="E348">
        <v>2001</v>
      </c>
      <c r="G348" t="s">
        <v>70</v>
      </c>
      <c r="H348" t="s">
        <v>67</v>
      </c>
    </row>
    <row r="349" spans="1:8" x14ac:dyDescent="0.3">
      <c r="A349" t="s">
        <v>26</v>
      </c>
      <c r="B349">
        <v>1</v>
      </c>
      <c r="D349">
        <v>20.04</v>
      </c>
      <c r="E349">
        <v>2002</v>
      </c>
      <c r="G349" t="s">
        <v>70</v>
      </c>
      <c r="H349" t="s">
        <v>67</v>
      </c>
    </row>
    <row r="350" spans="1:8" x14ac:dyDescent="0.3">
      <c r="A350" t="s">
        <v>26</v>
      </c>
      <c r="B350">
        <v>1</v>
      </c>
      <c r="D350">
        <v>19.920000000000002</v>
      </c>
      <c r="E350">
        <v>2003</v>
      </c>
      <c r="G350" t="s">
        <v>70</v>
      </c>
      <c r="H350" t="s">
        <v>67</v>
      </c>
    </row>
    <row r="351" spans="1:8" x14ac:dyDescent="0.3">
      <c r="A351" t="s">
        <v>26</v>
      </c>
      <c r="B351">
        <v>1</v>
      </c>
      <c r="D351">
        <v>0</v>
      </c>
      <c r="E351">
        <v>2004</v>
      </c>
      <c r="G351" t="s">
        <v>70</v>
      </c>
      <c r="H351" t="s">
        <v>67</v>
      </c>
    </row>
    <row r="352" spans="1:8" x14ac:dyDescent="0.3">
      <c r="A352" t="s">
        <v>27</v>
      </c>
      <c r="B352">
        <v>1</v>
      </c>
      <c r="D352">
        <v>10.89</v>
      </c>
      <c r="E352">
        <v>1958</v>
      </c>
      <c r="G352" t="s">
        <v>70</v>
      </c>
      <c r="H352" t="s">
        <v>67</v>
      </c>
    </row>
    <row r="353" spans="1:8" x14ac:dyDescent="0.3">
      <c r="A353" t="s">
        <v>27</v>
      </c>
      <c r="B353">
        <v>1</v>
      </c>
      <c r="E353">
        <v>1959</v>
      </c>
      <c r="G353" t="s">
        <v>70</v>
      </c>
      <c r="H353" t="s">
        <v>67</v>
      </c>
    </row>
    <row r="354" spans="1:8" x14ac:dyDescent="0.3">
      <c r="A354" t="s">
        <v>27</v>
      </c>
      <c r="B354">
        <v>1</v>
      </c>
      <c r="E354">
        <v>1960</v>
      </c>
      <c r="G354" t="s">
        <v>70</v>
      </c>
      <c r="H354" t="s">
        <v>67</v>
      </c>
    </row>
    <row r="355" spans="1:8" x14ac:dyDescent="0.3">
      <c r="A355" t="s">
        <v>27</v>
      </c>
      <c r="B355">
        <v>1</v>
      </c>
      <c r="E355">
        <v>1961</v>
      </c>
      <c r="G355" t="s">
        <v>70</v>
      </c>
      <c r="H355" t="s">
        <v>67</v>
      </c>
    </row>
    <row r="356" spans="1:8" x14ac:dyDescent="0.3">
      <c r="A356" t="s">
        <v>27</v>
      </c>
      <c r="B356">
        <v>1</v>
      </c>
      <c r="E356">
        <v>1962</v>
      </c>
      <c r="G356" t="s">
        <v>70</v>
      </c>
      <c r="H356" t="s">
        <v>67</v>
      </c>
    </row>
    <row r="357" spans="1:8" x14ac:dyDescent="0.3">
      <c r="A357" t="s">
        <v>27</v>
      </c>
      <c r="B357">
        <v>1</v>
      </c>
      <c r="D357">
        <v>110.32000000000001</v>
      </c>
      <c r="E357">
        <v>1963</v>
      </c>
      <c r="G357" t="s">
        <v>70</v>
      </c>
      <c r="H357" t="s">
        <v>67</v>
      </c>
    </row>
    <row r="358" spans="1:8" x14ac:dyDescent="0.3">
      <c r="A358" t="s">
        <v>27</v>
      </c>
      <c r="B358">
        <v>1</v>
      </c>
      <c r="D358">
        <v>1604.85</v>
      </c>
      <c r="E358">
        <v>1964</v>
      </c>
      <c r="G358" t="s">
        <v>70</v>
      </c>
      <c r="H358" t="s">
        <v>67</v>
      </c>
    </row>
    <row r="359" spans="1:8" x14ac:dyDescent="0.3">
      <c r="A359" t="s">
        <v>27</v>
      </c>
      <c r="B359">
        <v>1</v>
      </c>
      <c r="D359">
        <v>49451.11</v>
      </c>
      <c r="E359">
        <v>1965</v>
      </c>
      <c r="G359" t="s">
        <v>70</v>
      </c>
      <c r="H359" t="s">
        <v>67</v>
      </c>
    </row>
    <row r="360" spans="1:8" x14ac:dyDescent="0.3">
      <c r="A360" t="s">
        <v>27</v>
      </c>
      <c r="B360">
        <v>1</v>
      </c>
      <c r="D360">
        <v>12606.5</v>
      </c>
      <c r="E360">
        <v>1966</v>
      </c>
      <c r="G360" t="s">
        <v>70</v>
      </c>
      <c r="H360" t="s">
        <v>67</v>
      </c>
    </row>
    <row r="361" spans="1:8" x14ac:dyDescent="0.3">
      <c r="A361" t="s">
        <v>27</v>
      </c>
      <c r="B361">
        <v>1</v>
      </c>
      <c r="D361">
        <v>18440.98</v>
      </c>
      <c r="E361">
        <v>1967</v>
      </c>
      <c r="G361" t="s">
        <v>70</v>
      </c>
      <c r="H361" t="s">
        <v>67</v>
      </c>
    </row>
    <row r="362" spans="1:8" x14ac:dyDescent="0.3">
      <c r="A362" t="s">
        <v>27</v>
      </c>
      <c r="B362">
        <v>1</v>
      </c>
      <c r="E362">
        <v>1968</v>
      </c>
      <c r="G362" t="s">
        <v>70</v>
      </c>
      <c r="H362" t="s">
        <v>67</v>
      </c>
    </row>
    <row r="363" spans="1:8" x14ac:dyDescent="0.3">
      <c r="A363" t="s">
        <v>27</v>
      </c>
      <c r="B363">
        <v>1</v>
      </c>
      <c r="D363">
        <v>10874.630000000001</v>
      </c>
      <c r="E363">
        <v>1969</v>
      </c>
      <c r="G363" t="s">
        <v>70</v>
      </c>
      <c r="H363" t="s">
        <v>67</v>
      </c>
    </row>
    <row r="364" spans="1:8" x14ac:dyDescent="0.3">
      <c r="A364" t="s">
        <v>27</v>
      </c>
      <c r="B364">
        <v>1</v>
      </c>
      <c r="E364">
        <v>1970</v>
      </c>
      <c r="G364" t="s">
        <v>70</v>
      </c>
      <c r="H364" t="s">
        <v>67</v>
      </c>
    </row>
    <row r="365" spans="1:8" x14ac:dyDescent="0.3">
      <c r="A365" t="s">
        <v>27</v>
      </c>
      <c r="B365">
        <v>1</v>
      </c>
      <c r="E365">
        <v>1971</v>
      </c>
      <c r="G365" t="s">
        <v>70</v>
      </c>
      <c r="H365" t="s">
        <v>67</v>
      </c>
    </row>
    <row r="366" spans="1:8" x14ac:dyDescent="0.3">
      <c r="A366" t="s">
        <v>27</v>
      </c>
      <c r="B366">
        <v>1</v>
      </c>
      <c r="E366">
        <v>1972</v>
      </c>
      <c r="G366" t="s">
        <v>70</v>
      </c>
      <c r="H366" t="s">
        <v>67</v>
      </c>
    </row>
    <row r="367" spans="1:8" x14ac:dyDescent="0.3">
      <c r="A367" t="s">
        <v>27</v>
      </c>
      <c r="B367">
        <v>1</v>
      </c>
      <c r="E367">
        <v>1973</v>
      </c>
      <c r="G367" t="s">
        <v>70</v>
      </c>
      <c r="H367" t="s">
        <v>67</v>
      </c>
    </row>
    <row r="368" spans="1:8" x14ac:dyDescent="0.3">
      <c r="A368" t="s">
        <v>27</v>
      </c>
      <c r="B368">
        <v>1</v>
      </c>
      <c r="E368">
        <v>1974</v>
      </c>
      <c r="G368" t="s">
        <v>70</v>
      </c>
      <c r="H368" t="s">
        <v>67</v>
      </c>
    </row>
    <row r="369" spans="1:8" x14ac:dyDescent="0.3">
      <c r="A369" t="s">
        <v>27</v>
      </c>
      <c r="B369">
        <v>1</v>
      </c>
      <c r="D369">
        <v>19.079999999999998</v>
      </c>
      <c r="E369">
        <v>1975</v>
      </c>
      <c r="G369" t="s">
        <v>70</v>
      </c>
      <c r="H369" t="s">
        <v>67</v>
      </c>
    </row>
    <row r="370" spans="1:8" x14ac:dyDescent="0.3">
      <c r="A370" t="s">
        <v>27</v>
      </c>
      <c r="B370">
        <v>1</v>
      </c>
      <c r="E370">
        <v>1976</v>
      </c>
      <c r="G370" t="s">
        <v>70</v>
      </c>
      <c r="H370" t="s">
        <v>67</v>
      </c>
    </row>
    <row r="371" spans="1:8" x14ac:dyDescent="0.3">
      <c r="A371" t="s">
        <v>27</v>
      </c>
      <c r="B371">
        <v>1</v>
      </c>
      <c r="E371">
        <v>1977</v>
      </c>
      <c r="G371" t="s">
        <v>70</v>
      </c>
      <c r="H371" t="s">
        <v>67</v>
      </c>
    </row>
    <row r="372" spans="1:8" x14ac:dyDescent="0.3">
      <c r="A372" t="s">
        <v>27</v>
      </c>
      <c r="B372">
        <v>1</v>
      </c>
      <c r="E372">
        <v>1978</v>
      </c>
      <c r="G372" t="s">
        <v>70</v>
      </c>
      <c r="H372" t="s">
        <v>67</v>
      </c>
    </row>
    <row r="373" spans="1:8" x14ac:dyDescent="0.3">
      <c r="A373" t="s">
        <v>27</v>
      </c>
      <c r="B373">
        <v>1</v>
      </c>
      <c r="D373">
        <v>214.56</v>
      </c>
      <c r="E373">
        <v>1979</v>
      </c>
      <c r="G373" t="s">
        <v>70</v>
      </c>
      <c r="H373" t="s">
        <v>67</v>
      </c>
    </row>
    <row r="374" spans="1:8" x14ac:dyDescent="0.3">
      <c r="A374" t="s">
        <v>27</v>
      </c>
      <c r="B374">
        <v>1</v>
      </c>
      <c r="D374">
        <v>819.18</v>
      </c>
      <c r="E374">
        <v>1980</v>
      </c>
      <c r="G374" t="s">
        <v>70</v>
      </c>
      <c r="H374" t="s">
        <v>67</v>
      </c>
    </row>
    <row r="375" spans="1:8" x14ac:dyDescent="0.3">
      <c r="A375" t="s">
        <v>27</v>
      </c>
      <c r="B375">
        <v>1</v>
      </c>
      <c r="E375">
        <v>1981</v>
      </c>
      <c r="G375" t="s">
        <v>70</v>
      </c>
      <c r="H375" t="s">
        <v>67</v>
      </c>
    </row>
    <row r="376" spans="1:8" x14ac:dyDescent="0.3">
      <c r="A376" t="s">
        <v>27</v>
      </c>
      <c r="B376">
        <v>1</v>
      </c>
      <c r="D376">
        <v>165.42</v>
      </c>
      <c r="E376">
        <v>1982</v>
      </c>
      <c r="G376" t="s">
        <v>70</v>
      </c>
      <c r="H376" t="s">
        <v>67</v>
      </c>
    </row>
    <row r="377" spans="1:8" x14ac:dyDescent="0.3">
      <c r="A377" t="s">
        <v>27</v>
      </c>
      <c r="B377">
        <v>1</v>
      </c>
      <c r="D377">
        <v>877805.8</v>
      </c>
      <c r="E377">
        <v>1983</v>
      </c>
      <c r="G377" t="s">
        <v>70</v>
      </c>
      <c r="H377" t="s">
        <v>67</v>
      </c>
    </row>
    <row r="378" spans="1:8" x14ac:dyDescent="0.3">
      <c r="A378" t="s">
        <v>27</v>
      </c>
      <c r="B378">
        <v>1</v>
      </c>
      <c r="E378">
        <v>1984</v>
      </c>
      <c r="G378" t="s">
        <v>70</v>
      </c>
      <c r="H378" t="s">
        <v>67</v>
      </c>
    </row>
    <row r="379" spans="1:8" x14ac:dyDescent="0.3">
      <c r="A379" t="s">
        <v>27</v>
      </c>
      <c r="B379">
        <v>1</v>
      </c>
      <c r="E379">
        <v>1985</v>
      </c>
      <c r="G379" t="s">
        <v>70</v>
      </c>
      <c r="H379" t="s">
        <v>67</v>
      </c>
    </row>
    <row r="380" spans="1:8" x14ac:dyDescent="0.3">
      <c r="A380" t="s">
        <v>27</v>
      </c>
      <c r="B380">
        <v>1</v>
      </c>
      <c r="E380">
        <v>1986</v>
      </c>
      <c r="G380" t="s">
        <v>70</v>
      </c>
      <c r="H380" t="s">
        <v>67</v>
      </c>
    </row>
    <row r="381" spans="1:8" x14ac:dyDescent="0.3">
      <c r="A381" t="s">
        <v>27</v>
      </c>
      <c r="B381">
        <v>1</v>
      </c>
      <c r="E381">
        <v>1987</v>
      </c>
      <c r="G381" t="s">
        <v>70</v>
      </c>
      <c r="H381" t="s">
        <v>67</v>
      </c>
    </row>
    <row r="382" spans="1:8" x14ac:dyDescent="0.3">
      <c r="A382" t="s">
        <v>27</v>
      </c>
      <c r="B382">
        <v>1</v>
      </c>
      <c r="E382">
        <v>1988</v>
      </c>
      <c r="G382" t="s">
        <v>70</v>
      </c>
      <c r="H382" t="s">
        <v>67</v>
      </c>
    </row>
    <row r="383" spans="1:8" x14ac:dyDescent="0.3">
      <c r="A383" t="s">
        <v>27</v>
      </c>
      <c r="B383">
        <v>1</v>
      </c>
      <c r="E383">
        <v>1989</v>
      </c>
      <c r="G383" t="s">
        <v>70</v>
      </c>
      <c r="H383" t="s">
        <v>67</v>
      </c>
    </row>
    <row r="384" spans="1:8" x14ac:dyDescent="0.3">
      <c r="A384" t="s">
        <v>27</v>
      </c>
      <c r="B384">
        <v>1</v>
      </c>
      <c r="E384">
        <v>1990</v>
      </c>
      <c r="G384" t="s">
        <v>70</v>
      </c>
      <c r="H384" t="s">
        <v>67</v>
      </c>
    </row>
    <row r="385" spans="1:8" x14ac:dyDescent="0.3">
      <c r="A385" t="s">
        <v>27</v>
      </c>
      <c r="B385">
        <v>1</v>
      </c>
      <c r="E385">
        <v>1991</v>
      </c>
      <c r="G385" t="s">
        <v>70</v>
      </c>
      <c r="H385" t="s">
        <v>67</v>
      </c>
    </row>
    <row r="386" spans="1:8" x14ac:dyDescent="0.3">
      <c r="A386" t="s">
        <v>27</v>
      </c>
      <c r="B386">
        <v>1</v>
      </c>
      <c r="E386">
        <v>1992</v>
      </c>
      <c r="G386" t="s">
        <v>70</v>
      </c>
      <c r="H386" t="s">
        <v>67</v>
      </c>
    </row>
    <row r="387" spans="1:8" x14ac:dyDescent="0.3">
      <c r="A387" t="s">
        <v>27</v>
      </c>
      <c r="B387">
        <v>1</v>
      </c>
      <c r="E387">
        <v>1993</v>
      </c>
      <c r="G387" t="s">
        <v>70</v>
      </c>
      <c r="H387" t="s">
        <v>67</v>
      </c>
    </row>
    <row r="388" spans="1:8" x14ac:dyDescent="0.3">
      <c r="A388" t="s">
        <v>27</v>
      </c>
      <c r="B388">
        <v>1</v>
      </c>
      <c r="E388">
        <v>1994</v>
      </c>
      <c r="G388" t="s">
        <v>70</v>
      </c>
      <c r="H388" t="s">
        <v>67</v>
      </c>
    </row>
    <row r="389" spans="1:8" x14ac:dyDescent="0.3">
      <c r="A389" t="s">
        <v>27</v>
      </c>
      <c r="B389">
        <v>1</v>
      </c>
      <c r="E389">
        <v>1995</v>
      </c>
      <c r="G389" t="s">
        <v>70</v>
      </c>
      <c r="H389" t="s">
        <v>67</v>
      </c>
    </row>
    <row r="390" spans="1:8" x14ac:dyDescent="0.3">
      <c r="A390" t="s">
        <v>27</v>
      </c>
      <c r="B390">
        <v>1</v>
      </c>
      <c r="E390">
        <v>1996</v>
      </c>
      <c r="G390" t="s">
        <v>70</v>
      </c>
      <c r="H390" t="s">
        <v>67</v>
      </c>
    </row>
    <row r="391" spans="1:8" x14ac:dyDescent="0.3">
      <c r="A391" t="s">
        <v>27</v>
      </c>
      <c r="B391">
        <v>1</v>
      </c>
      <c r="E391">
        <v>1997</v>
      </c>
      <c r="G391" t="s">
        <v>70</v>
      </c>
      <c r="H391" t="s">
        <v>67</v>
      </c>
    </row>
    <row r="392" spans="1:8" x14ac:dyDescent="0.3">
      <c r="A392" t="s">
        <v>27</v>
      </c>
      <c r="B392">
        <v>1</v>
      </c>
      <c r="E392">
        <v>1998</v>
      </c>
      <c r="G392" t="s">
        <v>70</v>
      </c>
      <c r="H392" t="s">
        <v>67</v>
      </c>
    </row>
    <row r="393" spans="1:8" x14ac:dyDescent="0.3">
      <c r="A393" t="s">
        <v>27</v>
      </c>
      <c r="B393">
        <v>1</v>
      </c>
      <c r="D393">
        <v>905.76</v>
      </c>
      <c r="E393">
        <v>1999</v>
      </c>
      <c r="G393" t="s">
        <v>70</v>
      </c>
      <c r="H393" t="s">
        <v>67</v>
      </c>
    </row>
    <row r="394" spans="1:8" x14ac:dyDescent="0.3">
      <c r="A394" t="s">
        <v>27</v>
      </c>
      <c r="B394">
        <v>1</v>
      </c>
      <c r="D394">
        <v>0</v>
      </c>
      <c r="E394">
        <v>2000</v>
      </c>
      <c r="G394" t="s">
        <v>70</v>
      </c>
      <c r="H394" t="s">
        <v>67</v>
      </c>
    </row>
    <row r="395" spans="1:8" x14ac:dyDescent="0.3">
      <c r="A395" t="s">
        <v>27</v>
      </c>
      <c r="B395">
        <v>1</v>
      </c>
      <c r="E395">
        <v>2001</v>
      </c>
      <c r="G395" t="s">
        <v>70</v>
      </c>
      <c r="H395" t="s">
        <v>67</v>
      </c>
    </row>
    <row r="396" spans="1:8" x14ac:dyDescent="0.3">
      <c r="A396" t="s">
        <v>27</v>
      </c>
      <c r="B396">
        <v>1</v>
      </c>
      <c r="D396">
        <v>5.9399999999999995</v>
      </c>
      <c r="E396">
        <v>2002</v>
      </c>
      <c r="G396" t="s">
        <v>70</v>
      </c>
      <c r="H396" t="s">
        <v>67</v>
      </c>
    </row>
    <row r="397" spans="1:8" x14ac:dyDescent="0.3">
      <c r="A397" t="s">
        <v>27</v>
      </c>
      <c r="B397">
        <v>1</v>
      </c>
      <c r="D397">
        <v>0</v>
      </c>
      <c r="E397">
        <v>2003</v>
      </c>
      <c r="G397" t="s">
        <v>70</v>
      </c>
      <c r="H397" t="s">
        <v>67</v>
      </c>
    </row>
    <row r="398" spans="1:8" x14ac:dyDescent="0.3">
      <c r="A398" t="s">
        <v>27</v>
      </c>
      <c r="B398">
        <v>1</v>
      </c>
      <c r="D398">
        <v>0</v>
      </c>
      <c r="E398">
        <v>2004</v>
      </c>
      <c r="G398" t="s">
        <v>70</v>
      </c>
      <c r="H398" t="s">
        <v>67</v>
      </c>
    </row>
    <row r="399" spans="1:8" x14ac:dyDescent="0.3">
      <c r="A399" t="s">
        <v>28</v>
      </c>
      <c r="B399">
        <v>1</v>
      </c>
      <c r="D399">
        <v>244.14</v>
      </c>
      <c r="E399">
        <v>1958</v>
      </c>
      <c r="G399" t="s">
        <v>70</v>
      </c>
      <c r="H399" t="s">
        <v>67</v>
      </c>
    </row>
    <row r="400" spans="1:8" x14ac:dyDescent="0.3">
      <c r="A400" t="s">
        <v>28</v>
      </c>
      <c r="B400">
        <v>1</v>
      </c>
      <c r="E400">
        <v>1959</v>
      </c>
      <c r="G400" t="s">
        <v>70</v>
      </c>
      <c r="H400" t="s">
        <v>67</v>
      </c>
    </row>
    <row r="401" spans="1:8" x14ac:dyDescent="0.3">
      <c r="A401" t="s">
        <v>28</v>
      </c>
      <c r="B401">
        <v>1</v>
      </c>
      <c r="E401">
        <v>1960</v>
      </c>
      <c r="G401" t="s">
        <v>70</v>
      </c>
      <c r="H401" t="s">
        <v>67</v>
      </c>
    </row>
    <row r="402" spans="1:8" x14ac:dyDescent="0.3">
      <c r="A402" t="s">
        <v>28</v>
      </c>
      <c r="B402">
        <v>1</v>
      </c>
      <c r="E402">
        <v>1961</v>
      </c>
      <c r="G402" t="s">
        <v>70</v>
      </c>
      <c r="H402" t="s">
        <v>67</v>
      </c>
    </row>
    <row r="403" spans="1:8" x14ac:dyDescent="0.3">
      <c r="A403" t="s">
        <v>28</v>
      </c>
      <c r="B403">
        <v>1</v>
      </c>
      <c r="E403">
        <v>1962</v>
      </c>
      <c r="G403" t="s">
        <v>70</v>
      </c>
      <c r="H403" t="s">
        <v>67</v>
      </c>
    </row>
    <row r="404" spans="1:8" x14ac:dyDescent="0.3">
      <c r="A404" t="s">
        <v>28</v>
      </c>
      <c r="B404">
        <v>1</v>
      </c>
      <c r="D404">
        <v>0</v>
      </c>
      <c r="E404">
        <v>1963</v>
      </c>
      <c r="G404" t="s">
        <v>70</v>
      </c>
      <c r="H404" t="s">
        <v>67</v>
      </c>
    </row>
    <row r="405" spans="1:8" x14ac:dyDescent="0.3">
      <c r="A405" t="s">
        <v>28</v>
      </c>
      <c r="B405">
        <v>1</v>
      </c>
      <c r="D405">
        <v>2357.19</v>
      </c>
      <c r="E405">
        <v>1964</v>
      </c>
      <c r="G405" t="s">
        <v>70</v>
      </c>
      <c r="H405" t="s">
        <v>67</v>
      </c>
    </row>
    <row r="406" spans="1:8" x14ac:dyDescent="0.3">
      <c r="A406" t="s">
        <v>28</v>
      </c>
      <c r="B406">
        <v>1</v>
      </c>
      <c r="D406">
        <v>8974.39</v>
      </c>
      <c r="E406">
        <v>1965</v>
      </c>
      <c r="G406" t="s">
        <v>70</v>
      </c>
      <c r="H406" t="s">
        <v>67</v>
      </c>
    </row>
    <row r="407" spans="1:8" x14ac:dyDescent="0.3">
      <c r="A407" t="s">
        <v>28</v>
      </c>
      <c r="B407">
        <v>1</v>
      </c>
      <c r="D407">
        <v>19517.7</v>
      </c>
      <c r="E407">
        <v>1966</v>
      </c>
      <c r="G407" t="s">
        <v>70</v>
      </c>
      <c r="H407" t="s">
        <v>67</v>
      </c>
    </row>
    <row r="408" spans="1:8" x14ac:dyDescent="0.3">
      <c r="A408" t="s">
        <v>28</v>
      </c>
      <c r="B408">
        <v>1</v>
      </c>
      <c r="D408">
        <v>34787.399999999994</v>
      </c>
      <c r="E408">
        <v>1967</v>
      </c>
      <c r="G408" t="s">
        <v>70</v>
      </c>
      <c r="H408" t="s">
        <v>67</v>
      </c>
    </row>
    <row r="409" spans="1:8" x14ac:dyDescent="0.3">
      <c r="A409" t="s">
        <v>28</v>
      </c>
      <c r="B409">
        <v>1</v>
      </c>
      <c r="E409">
        <v>1968</v>
      </c>
      <c r="G409" t="s">
        <v>70</v>
      </c>
      <c r="H409" t="s">
        <v>67</v>
      </c>
    </row>
    <row r="410" spans="1:8" x14ac:dyDescent="0.3">
      <c r="A410" t="s">
        <v>28</v>
      </c>
      <c r="B410">
        <v>1</v>
      </c>
      <c r="D410">
        <v>26995.050000000003</v>
      </c>
      <c r="E410">
        <v>1969</v>
      </c>
      <c r="G410" t="s">
        <v>70</v>
      </c>
      <c r="H410" t="s">
        <v>67</v>
      </c>
    </row>
    <row r="411" spans="1:8" x14ac:dyDescent="0.3">
      <c r="A411" t="s">
        <v>28</v>
      </c>
      <c r="B411">
        <v>1</v>
      </c>
      <c r="E411">
        <v>1970</v>
      </c>
      <c r="G411" t="s">
        <v>70</v>
      </c>
      <c r="H411" t="s">
        <v>67</v>
      </c>
    </row>
    <row r="412" spans="1:8" x14ac:dyDescent="0.3">
      <c r="A412" t="s">
        <v>28</v>
      </c>
      <c r="B412">
        <v>1</v>
      </c>
      <c r="E412">
        <v>1971</v>
      </c>
      <c r="G412" t="s">
        <v>70</v>
      </c>
      <c r="H412" t="s">
        <v>67</v>
      </c>
    </row>
    <row r="413" spans="1:8" x14ac:dyDescent="0.3">
      <c r="A413" t="s">
        <v>28</v>
      </c>
      <c r="B413">
        <v>1</v>
      </c>
      <c r="E413">
        <v>1972</v>
      </c>
      <c r="G413" t="s">
        <v>70</v>
      </c>
      <c r="H413" t="s">
        <v>67</v>
      </c>
    </row>
    <row r="414" spans="1:8" x14ac:dyDescent="0.3">
      <c r="A414" t="s">
        <v>28</v>
      </c>
      <c r="B414">
        <v>1</v>
      </c>
      <c r="E414">
        <v>1973</v>
      </c>
      <c r="G414" t="s">
        <v>70</v>
      </c>
      <c r="H414" t="s">
        <v>67</v>
      </c>
    </row>
    <row r="415" spans="1:8" x14ac:dyDescent="0.3">
      <c r="A415" t="s">
        <v>28</v>
      </c>
      <c r="B415">
        <v>1</v>
      </c>
      <c r="E415">
        <v>1974</v>
      </c>
      <c r="G415" t="s">
        <v>70</v>
      </c>
      <c r="H415" t="s">
        <v>67</v>
      </c>
    </row>
    <row r="416" spans="1:8" x14ac:dyDescent="0.3">
      <c r="A416" t="s">
        <v>28</v>
      </c>
      <c r="B416">
        <v>1</v>
      </c>
      <c r="D416">
        <v>206.70000000000002</v>
      </c>
      <c r="E416">
        <v>1975</v>
      </c>
      <c r="G416" t="s">
        <v>70</v>
      </c>
      <c r="H416" t="s">
        <v>67</v>
      </c>
    </row>
    <row r="417" spans="1:8" x14ac:dyDescent="0.3">
      <c r="A417" t="s">
        <v>28</v>
      </c>
      <c r="B417">
        <v>1</v>
      </c>
      <c r="E417">
        <v>1976</v>
      </c>
      <c r="G417" t="s">
        <v>70</v>
      </c>
      <c r="H417" t="s">
        <v>67</v>
      </c>
    </row>
    <row r="418" spans="1:8" x14ac:dyDescent="0.3">
      <c r="A418" t="s">
        <v>28</v>
      </c>
      <c r="B418">
        <v>1</v>
      </c>
      <c r="E418">
        <v>1977</v>
      </c>
      <c r="G418" t="s">
        <v>70</v>
      </c>
      <c r="H418" t="s">
        <v>67</v>
      </c>
    </row>
    <row r="419" spans="1:8" x14ac:dyDescent="0.3">
      <c r="A419" t="s">
        <v>28</v>
      </c>
      <c r="B419">
        <v>1</v>
      </c>
      <c r="E419">
        <v>1978</v>
      </c>
      <c r="G419" t="s">
        <v>70</v>
      </c>
      <c r="H419" t="s">
        <v>67</v>
      </c>
    </row>
    <row r="420" spans="1:8" x14ac:dyDescent="0.3">
      <c r="A420" t="s">
        <v>28</v>
      </c>
      <c r="B420">
        <v>1</v>
      </c>
      <c r="D420">
        <v>965.5200000000001</v>
      </c>
      <c r="E420">
        <v>1979</v>
      </c>
      <c r="G420" t="s">
        <v>70</v>
      </c>
      <c r="H420" t="s">
        <v>67</v>
      </c>
    </row>
    <row r="421" spans="1:8" x14ac:dyDescent="0.3">
      <c r="A421" t="s">
        <v>28</v>
      </c>
      <c r="B421">
        <v>1</v>
      </c>
      <c r="D421">
        <v>1547.3400000000001</v>
      </c>
      <c r="E421">
        <v>1980</v>
      </c>
      <c r="G421" t="s">
        <v>70</v>
      </c>
      <c r="H421" t="s">
        <v>67</v>
      </c>
    </row>
    <row r="422" spans="1:8" x14ac:dyDescent="0.3">
      <c r="A422" t="s">
        <v>28</v>
      </c>
      <c r="B422">
        <v>1</v>
      </c>
      <c r="E422">
        <v>1981</v>
      </c>
      <c r="G422" t="s">
        <v>70</v>
      </c>
      <c r="H422" t="s">
        <v>67</v>
      </c>
    </row>
    <row r="423" spans="1:8" x14ac:dyDescent="0.3">
      <c r="A423" t="s">
        <v>28</v>
      </c>
      <c r="B423">
        <v>1</v>
      </c>
      <c r="D423">
        <v>404.36</v>
      </c>
      <c r="E423">
        <v>1982</v>
      </c>
      <c r="G423" t="s">
        <v>70</v>
      </c>
      <c r="H423" t="s">
        <v>67</v>
      </c>
    </row>
    <row r="424" spans="1:8" x14ac:dyDescent="0.3">
      <c r="A424" t="s">
        <v>28</v>
      </c>
      <c r="B424">
        <v>1</v>
      </c>
      <c r="D424">
        <v>29284</v>
      </c>
      <c r="E424">
        <v>1983</v>
      </c>
      <c r="G424" t="s">
        <v>70</v>
      </c>
      <c r="H424" t="s">
        <v>67</v>
      </c>
    </row>
    <row r="425" spans="1:8" x14ac:dyDescent="0.3">
      <c r="A425" t="s">
        <v>28</v>
      </c>
      <c r="B425">
        <v>1</v>
      </c>
      <c r="E425">
        <v>1984</v>
      </c>
      <c r="G425" t="s">
        <v>70</v>
      </c>
      <c r="H425" t="s">
        <v>67</v>
      </c>
    </row>
    <row r="426" spans="1:8" x14ac:dyDescent="0.3">
      <c r="A426" t="s">
        <v>28</v>
      </c>
      <c r="B426">
        <v>1</v>
      </c>
      <c r="E426">
        <v>1985</v>
      </c>
      <c r="G426" t="s">
        <v>70</v>
      </c>
      <c r="H426" t="s">
        <v>67</v>
      </c>
    </row>
    <row r="427" spans="1:8" x14ac:dyDescent="0.3">
      <c r="A427" t="s">
        <v>28</v>
      </c>
      <c r="B427">
        <v>1</v>
      </c>
      <c r="E427">
        <v>1986</v>
      </c>
      <c r="G427" t="s">
        <v>70</v>
      </c>
      <c r="H427" t="s">
        <v>67</v>
      </c>
    </row>
    <row r="428" spans="1:8" x14ac:dyDescent="0.3">
      <c r="A428" t="s">
        <v>28</v>
      </c>
      <c r="B428">
        <v>1</v>
      </c>
      <c r="E428">
        <v>1987</v>
      </c>
      <c r="G428" t="s">
        <v>70</v>
      </c>
      <c r="H428" t="s">
        <v>67</v>
      </c>
    </row>
    <row r="429" spans="1:8" x14ac:dyDescent="0.3">
      <c r="A429" t="s">
        <v>28</v>
      </c>
      <c r="B429">
        <v>1</v>
      </c>
      <c r="E429">
        <v>1988</v>
      </c>
      <c r="G429" t="s">
        <v>70</v>
      </c>
      <c r="H429" t="s">
        <v>67</v>
      </c>
    </row>
    <row r="430" spans="1:8" x14ac:dyDescent="0.3">
      <c r="A430" t="s">
        <v>28</v>
      </c>
      <c r="B430">
        <v>1</v>
      </c>
      <c r="E430">
        <v>1989</v>
      </c>
      <c r="G430" t="s">
        <v>70</v>
      </c>
      <c r="H430" t="s">
        <v>67</v>
      </c>
    </row>
    <row r="431" spans="1:8" x14ac:dyDescent="0.3">
      <c r="A431" t="s">
        <v>28</v>
      </c>
      <c r="B431">
        <v>1</v>
      </c>
      <c r="E431">
        <v>1990</v>
      </c>
      <c r="G431" t="s">
        <v>70</v>
      </c>
      <c r="H431" t="s">
        <v>67</v>
      </c>
    </row>
    <row r="432" spans="1:8" x14ac:dyDescent="0.3">
      <c r="A432" t="s">
        <v>28</v>
      </c>
      <c r="B432">
        <v>1</v>
      </c>
      <c r="E432">
        <v>1991</v>
      </c>
      <c r="G432" t="s">
        <v>70</v>
      </c>
      <c r="H432" t="s">
        <v>67</v>
      </c>
    </row>
    <row r="433" spans="1:8" x14ac:dyDescent="0.3">
      <c r="A433" t="s">
        <v>28</v>
      </c>
      <c r="B433">
        <v>1</v>
      </c>
      <c r="E433">
        <v>1992</v>
      </c>
      <c r="G433" t="s">
        <v>70</v>
      </c>
      <c r="H433" t="s">
        <v>67</v>
      </c>
    </row>
    <row r="434" spans="1:8" x14ac:dyDescent="0.3">
      <c r="A434" t="s">
        <v>28</v>
      </c>
      <c r="B434">
        <v>1</v>
      </c>
      <c r="E434">
        <v>1993</v>
      </c>
      <c r="G434" t="s">
        <v>70</v>
      </c>
      <c r="H434" t="s">
        <v>67</v>
      </c>
    </row>
    <row r="435" spans="1:8" x14ac:dyDescent="0.3">
      <c r="A435" t="s">
        <v>28</v>
      </c>
      <c r="B435">
        <v>1</v>
      </c>
      <c r="E435">
        <v>1994</v>
      </c>
      <c r="G435" t="s">
        <v>70</v>
      </c>
      <c r="H435" t="s">
        <v>67</v>
      </c>
    </row>
    <row r="436" spans="1:8" x14ac:dyDescent="0.3">
      <c r="A436" t="s">
        <v>28</v>
      </c>
      <c r="B436">
        <v>1</v>
      </c>
      <c r="E436">
        <v>1995</v>
      </c>
      <c r="G436" t="s">
        <v>70</v>
      </c>
      <c r="H436" t="s">
        <v>67</v>
      </c>
    </row>
    <row r="437" spans="1:8" x14ac:dyDescent="0.3">
      <c r="A437" t="s">
        <v>28</v>
      </c>
      <c r="B437">
        <v>1</v>
      </c>
      <c r="E437">
        <v>1996</v>
      </c>
      <c r="G437" t="s">
        <v>70</v>
      </c>
      <c r="H437" t="s">
        <v>67</v>
      </c>
    </row>
    <row r="438" spans="1:8" x14ac:dyDescent="0.3">
      <c r="A438" t="s">
        <v>28</v>
      </c>
      <c r="B438">
        <v>1</v>
      </c>
      <c r="E438">
        <v>1997</v>
      </c>
      <c r="G438" t="s">
        <v>70</v>
      </c>
      <c r="H438" t="s">
        <v>67</v>
      </c>
    </row>
    <row r="439" spans="1:8" x14ac:dyDescent="0.3">
      <c r="A439" t="s">
        <v>28</v>
      </c>
      <c r="B439">
        <v>1</v>
      </c>
      <c r="E439">
        <v>1998</v>
      </c>
      <c r="G439" t="s">
        <v>70</v>
      </c>
      <c r="H439" t="s">
        <v>67</v>
      </c>
    </row>
    <row r="440" spans="1:8" x14ac:dyDescent="0.3">
      <c r="A440" t="s">
        <v>28</v>
      </c>
      <c r="B440">
        <v>1</v>
      </c>
      <c r="D440">
        <v>3472.08</v>
      </c>
      <c r="E440">
        <v>1999</v>
      </c>
      <c r="G440" t="s">
        <v>70</v>
      </c>
      <c r="H440" t="s">
        <v>67</v>
      </c>
    </row>
    <row r="441" spans="1:8" x14ac:dyDescent="0.3">
      <c r="A441" t="s">
        <v>28</v>
      </c>
      <c r="B441">
        <v>1</v>
      </c>
      <c r="D441">
        <v>0</v>
      </c>
      <c r="E441">
        <v>2000</v>
      </c>
      <c r="G441" t="s">
        <v>70</v>
      </c>
      <c r="H441" t="s">
        <v>67</v>
      </c>
    </row>
    <row r="442" spans="1:8" x14ac:dyDescent="0.3">
      <c r="A442" t="s">
        <v>28</v>
      </c>
      <c r="B442">
        <v>1</v>
      </c>
      <c r="E442">
        <v>2001</v>
      </c>
      <c r="G442" t="s">
        <v>70</v>
      </c>
      <c r="H442" t="s">
        <v>67</v>
      </c>
    </row>
    <row r="443" spans="1:8" x14ac:dyDescent="0.3">
      <c r="A443" t="s">
        <v>28</v>
      </c>
      <c r="B443">
        <v>1</v>
      </c>
      <c r="D443">
        <v>166.44</v>
      </c>
      <c r="E443">
        <v>2002</v>
      </c>
      <c r="G443" t="s">
        <v>70</v>
      </c>
      <c r="H443" t="s">
        <v>67</v>
      </c>
    </row>
    <row r="444" spans="1:8" x14ac:dyDescent="0.3">
      <c r="A444" t="s">
        <v>28</v>
      </c>
      <c r="B444">
        <v>1</v>
      </c>
      <c r="D444">
        <v>179.28</v>
      </c>
      <c r="E444">
        <v>2003</v>
      </c>
      <c r="G444" t="s">
        <v>70</v>
      </c>
      <c r="H444" t="s">
        <v>67</v>
      </c>
    </row>
    <row r="445" spans="1:8" x14ac:dyDescent="0.3">
      <c r="A445" t="s">
        <v>28</v>
      </c>
      <c r="B445">
        <v>1</v>
      </c>
      <c r="D445">
        <v>0</v>
      </c>
      <c r="E445">
        <v>2004</v>
      </c>
      <c r="G445" t="s">
        <v>70</v>
      </c>
      <c r="H445" t="s">
        <v>67</v>
      </c>
    </row>
    <row r="446" spans="1:8" x14ac:dyDescent="0.3">
      <c r="A446" t="s">
        <v>34</v>
      </c>
      <c r="B446">
        <v>1</v>
      </c>
      <c r="C446" t="s">
        <v>29</v>
      </c>
      <c r="D446">
        <v>0</v>
      </c>
      <c r="E446">
        <v>1978</v>
      </c>
      <c r="F446">
        <v>5</v>
      </c>
      <c r="G446" t="s">
        <v>68</v>
      </c>
      <c r="H446" t="s">
        <v>73</v>
      </c>
    </row>
    <row r="447" spans="1:8" x14ac:dyDescent="0.3">
      <c r="A447" t="s">
        <v>34</v>
      </c>
      <c r="B447">
        <v>1</v>
      </c>
      <c r="C447" t="s">
        <v>29</v>
      </c>
      <c r="D447">
        <v>0</v>
      </c>
      <c r="E447">
        <v>1978</v>
      </c>
      <c r="F447">
        <v>8</v>
      </c>
      <c r="G447" t="s">
        <v>68</v>
      </c>
      <c r="H447" t="s">
        <v>73</v>
      </c>
    </row>
    <row r="448" spans="1:8" x14ac:dyDescent="0.3">
      <c r="A448" t="s">
        <v>34</v>
      </c>
      <c r="B448">
        <v>1</v>
      </c>
      <c r="C448" t="s">
        <v>29</v>
      </c>
      <c r="E448">
        <v>1979</v>
      </c>
      <c r="F448">
        <v>1</v>
      </c>
      <c r="G448" t="s">
        <v>68</v>
      </c>
      <c r="H448" t="s">
        <v>73</v>
      </c>
    </row>
    <row r="449" spans="1:8" x14ac:dyDescent="0.3">
      <c r="A449" t="s">
        <v>34</v>
      </c>
      <c r="B449">
        <v>1</v>
      </c>
      <c r="C449" t="s">
        <v>29</v>
      </c>
      <c r="E449">
        <v>1980</v>
      </c>
      <c r="F449">
        <v>1</v>
      </c>
      <c r="G449" t="s">
        <v>68</v>
      </c>
      <c r="H449" t="s">
        <v>73</v>
      </c>
    </row>
    <row r="450" spans="1:8" x14ac:dyDescent="0.3">
      <c r="A450" t="s">
        <v>34</v>
      </c>
      <c r="B450">
        <v>1</v>
      </c>
      <c r="C450" t="s">
        <v>29</v>
      </c>
      <c r="E450">
        <v>1981</v>
      </c>
      <c r="F450">
        <v>1</v>
      </c>
      <c r="G450" t="s">
        <v>68</v>
      </c>
      <c r="H450" t="s">
        <v>73</v>
      </c>
    </row>
    <row r="451" spans="1:8" x14ac:dyDescent="0.3">
      <c r="A451" t="s">
        <v>34</v>
      </c>
      <c r="B451">
        <v>1</v>
      </c>
      <c r="C451" t="s">
        <v>29</v>
      </c>
      <c r="E451">
        <v>1982</v>
      </c>
      <c r="F451">
        <v>1</v>
      </c>
      <c r="G451" t="s">
        <v>68</v>
      </c>
      <c r="H451" t="s">
        <v>73</v>
      </c>
    </row>
    <row r="452" spans="1:8" x14ac:dyDescent="0.3">
      <c r="A452" t="s">
        <v>34</v>
      </c>
      <c r="B452">
        <v>1</v>
      </c>
      <c r="C452" t="s">
        <v>29</v>
      </c>
      <c r="E452">
        <v>1983</v>
      </c>
      <c r="F452">
        <v>1</v>
      </c>
      <c r="G452" t="s">
        <v>68</v>
      </c>
      <c r="H452" t="s">
        <v>73</v>
      </c>
    </row>
    <row r="453" spans="1:8" x14ac:dyDescent="0.3">
      <c r="A453" t="s">
        <v>34</v>
      </c>
      <c r="B453">
        <v>1</v>
      </c>
      <c r="C453" t="s">
        <v>29</v>
      </c>
      <c r="D453">
        <v>0</v>
      </c>
      <c r="E453">
        <v>1984</v>
      </c>
      <c r="F453">
        <v>6</v>
      </c>
      <c r="G453" t="s">
        <v>68</v>
      </c>
      <c r="H453" t="s">
        <v>73</v>
      </c>
    </row>
    <row r="454" spans="1:8" x14ac:dyDescent="0.3">
      <c r="A454" t="s">
        <v>34</v>
      </c>
      <c r="B454">
        <v>1</v>
      </c>
      <c r="C454" t="s">
        <v>29</v>
      </c>
      <c r="D454">
        <v>0</v>
      </c>
      <c r="E454">
        <v>1984</v>
      </c>
      <c r="F454">
        <v>9</v>
      </c>
      <c r="G454" t="s">
        <v>68</v>
      </c>
      <c r="H454" t="s">
        <v>73</v>
      </c>
    </row>
    <row r="455" spans="1:8" x14ac:dyDescent="0.3">
      <c r="A455" t="s">
        <v>34</v>
      </c>
      <c r="B455">
        <v>1</v>
      </c>
      <c r="C455" t="s">
        <v>29</v>
      </c>
      <c r="E455">
        <v>1985</v>
      </c>
      <c r="F455">
        <v>1</v>
      </c>
      <c r="G455" t="s">
        <v>68</v>
      </c>
      <c r="H455" t="s">
        <v>73</v>
      </c>
    </row>
    <row r="456" spans="1:8" x14ac:dyDescent="0.3">
      <c r="A456" t="s">
        <v>34</v>
      </c>
      <c r="B456">
        <v>1</v>
      </c>
      <c r="C456" t="s">
        <v>29</v>
      </c>
      <c r="E456">
        <v>1986</v>
      </c>
      <c r="F456">
        <v>1</v>
      </c>
      <c r="G456" t="s">
        <v>68</v>
      </c>
      <c r="H456" t="s">
        <v>73</v>
      </c>
    </row>
    <row r="457" spans="1:8" x14ac:dyDescent="0.3">
      <c r="A457" t="s">
        <v>34</v>
      </c>
      <c r="B457">
        <v>1</v>
      </c>
      <c r="C457" t="s">
        <v>29</v>
      </c>
      <c r="E457">
        <v>1987</v>
      </c>
      <c r="F457">
        <v>1</v>
      </c>
      <c r="G457" t="s">
        <v>68</v>
      </c>
      <c r="H457" t="s">
        <v>73</v>
      </c>
    </row>
    <row r="458" spans="1:8" x14ac:dyDescent="0.3">
      <c r="A458" t="s">
        <v>34</v>
      </c>
      <c r="B458">
        <v>1</v>
      </c>
      <c r="C458" t="s">
        <v>29</v>
      </c>
      <c r="E458">
        <v>1988</v>
      </c>
      <c r="F458">
        <v>1</v>
      </c>
      <c r="G458" t="s">
        <v>68</v>
      </c>
      <c r="H458" t="s">
        <v>73</v>
      </c>
    </row>
    <row r="459" spans="1:8" x14ac:dyDescent="0.3">
      <c r="A459" t="s">
        <v>34</v>
      </c>
      <c r="B459">
        <v>1</v>
      </c>
      <c r="C459" t="s">
        <v>29</v>
      </c>
      <c r="E459">
        <v>1989</v>
      </c>
      <c r="F459">
        <v>1</v>
      </c>
      <c r="G459" t="s">
        <v>68</v>
      </c>
      <c r="H459" t="s">
        <v>73</v>
      </c>
    </row>
    <row r="460" spans="1:8" x14ac:dyDescent="0.3">
      <c r="A460" t="s">
        <v>34</v>
      </c>
      <c r="B460">
        <v>1</v>
      </c>
      <c r="C460" t="s">
        <v>29</v>
      </c>
      <c r="E460">
        <v>1990</v>
      </c>
      <c r="F460">
        <v>1</v>
      </c>
      <c r="G460" t="s">
        <v>68</v>
      </c>
      <c r="H460" t="s">
        <v>73</v>
      </c>
    </row>
    <row r="461" spans="1:8" x14ac:dyDescent="0.3">
      <c r="A461" t="s">
        <v>34</v>
      </c>
      <c r="B461">
        <v>1</v>
      </c>
      <c r="C461" t="s">
        <v>29</v>
      </c>
      <c r="E461">
        <v>1991</v>
      </c>
      <c r="F461">
        <v>1</v>
      </c>
      <c r="G461" t="s">
        <v>68</v>
      </c>
      <c r="H461" t="s">
        <v>73</v>
      </c>
    </row>
    <row r="462" spans="1:8" x14ac:dyDescent="0.3">
      <c r="A462" t="s">
        <v>34</v>
      </c>
      <c r="B462">
        <v>1</v>
      </c>
      <c r="C462" t="s">
        <v>29</v>
      </c>
      <c r="E462">
        <v>1992</v>
      </c>
      <c r="F462">
        <v>1</v>
      </c>
      <c r="G462" t="s">
        <v>68</v>
      </c>
      <c r="H462" t="s">
        <v>73</v>
      </c>
    </row>
    <row r="463" spans="1:8" x14ac:dyDescent="0.3">
      <c r="A463" t="s">
        <v>34</v>
      </c>
      <c r="B463">
        <v>1</v>
      </c>
      <c r="C463" t="s">
        <v>29</v>
      </c>
      <c r="E463">
        <v>1993</v>
      </c>
      <c r="F463">
        <v>1</v>
      </c>
      <c r="G463" t="s">
        <v>68</v>
      </c>
      <c r="H463" t="s">
        <v>73</v>
      </c>
    </row>
    <row r="464" spans="1:8" x14ac:dyDescent="0.3">
      <c r="A464" t="s">
        <v>34</v>
      </c>
      <c r="B464">
        <v>1</v>
      </c>
      <c r="C464" t="s">
        <v>29</v>
      </c>
      <c r="E464">
        <v>1994</v>
      </c>
      <c r="F464">
        <v>1</v>
      </c>
      <c r="G464" t="s">
        <v>68</v>
      </c>
      <c r="H464" t="s">
        <v>73</v>
      </c>
    </row>
    <row r="465" spans="1:8" x14ac:dyDescent="0.3">
      <c r="A465" t="s">
        <v>34</v>
      </c>
      <c r="B465">
        <v>1</v>
      </c>
      <c r="C465" t="s">
        <v>29</v>
      </c>
      <c r="E465">
        <v>1995</v>
      </c>
      <c r="F465">
        <v>1</v>
      </c>
      <c r="G465" t="s">
        <v>68</v>
      </c>
      <c r="H465" t="s">
        <v>73</v>
      </c>
    </row>
    <row r="466" spans="1:8" x14ac:dyDescent="0.3">
      <c r="A466" t="s">
        <v>34</v>
      </c>
      <c r="B466">
        <v>1</v>
      </c>
      <c r="C466" t="s">
        <v>29</v>
      </c>
      <c r="E466">
        <v>1996</v>
      </c>
      <c r="F466">
        <v>1</v>
      </c>
      <c r="G466" t="s">
        <v>68</v>
      </c>
      <c r="H466" t="s">
        <v>73</v>
      </c>
    </row>
    <row r="467" spans="1:8" x14ac:dyDescent="0.3">
      <c r="A467" t="s">
        <v>34</v>
      </c>
      <c r="B467">
        <v>1</v>
      </c>
      <c r="C467" t="s">
        <v>29</v>
      </c>
      <c r="E467">
        <v>1997</v>
      </c>
      <c r="F467">
        <v>1</v>
      </c>
      <c r="G467" t="s">
        <v>68</v>
      </c>
      <c r="H467" t="s">
        <v>73</v>
      </c>
    </row>
    <row r="468" spans="1:8" x14ac:dyDescent="0.3">
      <c r="A468" t="s">
        <v>34</v>
      </c>
      <c r="B468">
        <v>1</v>
      </c>
      <c r="C468" t="s">
        <v>29</v>
      </c>
      <c r="E468">
        <v>1998</v>
      </c>
      <c r="F468">
        <v>1</v>
      </c>
      <c r="G468" t="s">
        <v>68</v>
      </c>
      <c r="H468" t="s">
        <v>73</v>
      </c>
    </row>
    <row r="469" spans="1:8" x14ac:dyDescent="0.3">
      <c r="A469" t="s">
        <v>34</v>
      </c>
      <c r="B469">
        <v>1</v>
      </c>
      <c r="C469" t="s">
        <v>29</v>
      </c>
      <c r="E469">
        <v>1999</v>
      </c>
      <c r="F469">
        <v>1</v>
      </c>
      <c r="G469" t="s">
        <v>68</v>
      </c>
      <c r="H469" t="s">
        <v>73</v>
      </c>
    </row>
    <row r="470" spans="1:8" x14ac:dyDescent="0.3">
      <c r="A470" t="s">
        <v>34</v>
      </c>
      <c r="B470">
        <v>1</v>
      </c>
      <c r="C470" t="s">
        <v>29</v>
      </c>
      <c r="E470">
        <v>2000</v>
      </c>
      <c r="F470">
        <v>1</v>
      </c>
      <c r="G470" t="s">
        <v>68</v>
      </c>
      <c r="H470" t="s">
        <v>73</v>
      </c>
    </row>
    <row r="471" spans="1:8" x14ac:dyDescent="0.3">
      <c r="A471" t="s">
        <v>34</v>
      </c>
      <c r="B471">
        <v>1</v>
      </c>
      <c r="C471" t="s">
        <v>29</v>
      </c>
      <c r="E471">
        <v>2001</v>
      </c>
      <c r="F471">
        <v>1</v>
      </c>
      <c r="G471" t="s">
        <v>68</v>
      </c>
      <c r="H471" t="s">
        <v>73</v>
      </c>
    </row>
    <row r="472" spans="1:8" x14ac:dyDescent="0.3">
      <c r="A472" t="s">
        <v>34</v>
      </c>
      <c r="B472">
        <v>1</v>
      </c>
      <c r="C472" t="s">
        <v>29</v>
      </c>
      <c r="E472">
        <v>2002</v>
      </c>
      <c r="F472">
        <v>1</v>
      </c>
      <c r="G472" t="s">
        <v>68</v>
      </c>
      <c r="H472" t="s">
        <v>73</v>
      </c>
    </row>
    <row r="473" spans="1:8" x14ac:dyDescent="0.3">
      <c r="A473" t="s">
        <v>34</v>
      </c>
      <c r="B473">
        <v>1</v>
      </c>
      <c r="C473" t="s">
        <v>29</v>
      </c>
      <c r="E473">
        <v>2003</v>
      </c>
      <c r="F473">
        <v>1</v>
      </c>
      <c r="G473" t="s">
        <v>68</v>
      </c>
      <c r="H473" t="s">
        <v>73</v>
      </c>
    </row>
    <row r="474" spans="1:8" x14ac:dyDescent="0.3">
      <c r="A474" t="s">
        <v>34</v>
      </c>
      <c r="B474">
        <v>1</v>
      </c>
      <c r="C474" t="s">
        <v>29</v>
      </c>
      <c r="E474">
        <v>2004</v>
      </c>
      <c r="F474">
        <v>1</v>
      </c>
      <c r="G474" t="s">
        <v>68</v>
      </c>
      <c r="H474" t="s">
        <v>73</v>
      </c>
    </row>
    <row r="475" spans="1:8" x14ac:dyDescent="0.3">
      <c r="A475" t="s">
        <v>34</v>
      </c>
      <c r="B475">
        <v>1</v>
      </c>
      <c r="C475" t="s">
        <v>29</v>
      </c>
      <c r="D475">
        <v>0</v>
      </c>
      <c r="E475">
        <v>2005</v>
      </c>
      <c r="F475">
        <v>7</v>
      </c>
      <c r="G475" t="s">
        <v>68</v>
      </c>
      <c r="H475" t="s">
        <v>73</v>
      </c>
    </row>
    <row r="476" spans="1:8" x14ac:dyDescent="0.3">
      <c r="A476" t="s">
        <v>34</v>
      </c>
      <c r="B476">
        <v>1</v>
      </c>
      <c r="C476" t="s">
        <v>29</v>
      </c>
      <c r="D476">
        <v>0.9</v>
      </c>
      <c r="E476">
        <v>2006</v>
      </c>
      <c r="F476">
        <v>4</v>
      </c>
      <c r="G476" t="s">
        <v>68</v>
      </c>
      <c r="H476" t="s">
        <v>73</v>
      </c>
    </row>
    <row r="477" spans="1:8" x14ac:dyDescent="0.3">
      <c r="A477" t="s">
        <v>34</v>
      </c>
      <c r="B477">
        <v>1</v>
      </c>
      <c r="C477" t="s">
        <v>29</v>
      </c>
      <c r="D477">
        <v>0</v>
      </c>
      <c r="E477">
        <v>2006</v>
      </c>
      <c r="F477">
        <v>8</v>
      </c>
      <c r="G477" t="s">
        <v>68</v>
      </c>
      <c r="H477" t="s">
        <v>73</v>
      </c>
    </row>
    <row r="478" spans="1:8" x14ac:dyDescent="0.3">
      <c r="A478" t="s">
        <v>34</v>
      </c>
      <c r="B478">
        <v>2</v>
      </c>
      <c r="C478" t="s">
        <v>30</v>
      </c>
      <c r="D478">
        <v>11.1</v>
      </c>
      <c r="E478">
        <v>1978</v>
      </c>
      <c r="F478">
        <v>5</v>
      </c>
      <c r="G478" t="s">
        <v>68</v>
      </c>
      <c r="H478" t="s">
        <v>73</v>
      </c>
    </row>
    <row r="479" spans="1:8" x14ac:dyDescent="0.3">
      <c r="A479" t="s">
        <v>34</v>
      </c>
      <c r="B479">
        <v>2</v>
      </c>
      <c r="C479" t="s">
        <v>30</v>
      </c>
      <c r="D479">
        <v>0</v>
      </c>
      <c r="E479">
        <v>1978</v>
      </c>
      <c r="F479">
        <v>8</v>
      </c>
      <c r="G479" t="s">
        <v>68</v>
      </c>
      <c r="H479" t="s">
        <v>73</v>
      </c>
    </row>
    <row r="480" spans="1:8" x14ac:dyDescent="0.3">
      <c r="A480" t="s">
        <v>34</v>
      </c>
      <c r="B480">
        <v>2</v>
      </c>
      <c r="C480" t="s">
        <v>30</v>
      </c>
      <c r="E480">
        <v>1979</v>
      </c>
      <c r="F480">
        <v>1</v>
      </c>
      <c r="G480" t="s">
        <v>68</v>
      </c>
      <c r="H480" t="s">
        <v>73</v>
      </c>
    </row>
    <row r="481" spans="1:8" x14ac:dyDescent="0.3">
      <c r="A481" t="s">
        <v>34</v>
      </c>
      <c r="B481">
        <v>2</v>
      </c>
      <c r="C481" t="s">
        <v>30</v>
      </c>
      <c r="E481">
        <v>1980</v>
      </c>
      <c r="F481">
        <v>1</v>
      </c>
      <c r="G481" t="s">
        <v>68</v>
      </c>
      <c r="H481" t="s">
        <v>73</v>
      </c>
    </row>
    <row r="482" spans="1:8" x14ac:dyDescent="0.3">
      <c r="A482" t="s">
        <v>34</v>
      </c>
      <c r="B482">
        <v>2</v>
      </c>
      <c r="C482" t="s">
        <v>30</v>
      </c>
      <c r="E482">
        <v>1981</v>
      </c>
      <c r="F482">
        <v>1</v>
      </c>
      <c r="G482" t="s">
        <v>68</v>
      </c>
      <c r="H482" t="s">
        <v>73</v>
      </c>
    </row>
    <row r="483" spans="1:8" x14ac:dyDescent="0.3">
      <c r="A483" t="s">
        <v>34</v>
      </c>
      <c r="B483">
        <v>2</v>
      </c>
      <c r="C483" t="s">
        <v>30</v>
      </c>
      <c r="E483">
        <v>1982</v>
      </c>
      <c r="F483">
        <v>1</v>
      </c>
      <c r="G483" t="s">
        <v>68</v>
      </c>
      <c r="H483" t="s">
        <v>73</v>
      </c>
    </row>
    <row r="484" spans="1:8" x14ac:dyDescent="0.3">
      <c r="A484" t="s">
        <v>34</v>
      </c>
      <c r="B484">
        <v>2</v>
      </c>
      <c r="C484" t="s">
        <v>30</v>
      </c>
      <c r="E484">
        <v>1983</v>
      </c>
      <c r="F484">
        <v>1</v>
      </c>
      <c r="G484" t="s">
        <v>68</v>
      </c>
      <c r="H484" t="s">
        <v>73</v>
      </c>
    </row>
    <row r="485" spans="1:8" x14ac:dyDescent="0.3">
      <c r="A485" t="s">
        <v>34</v>
      </c>
      <c r="B485">
        <v>2</v>
      </c>
      <c r="C485" t="s">
        <v>30</v>
      </c>
      <c r="E485">
        <v>1984</v>
      </c>
      <c r="F485">
        <v>1</v>
      </c>
      <c r="G485" t="s">
        <v>68</v>
      </c>
      <c r="H485" t="s">
        <v>73</v>
      </c>
    </row>
    <row r="486" spans="1:8" x14ac:dyDescent="0.3">
      <c r="A486" t="s">
        <v>34</v>
      </c>
      <c r="B486">
        <v>2</v>
      </c>
      <c r="C486" t="s">
        <v>30</v>
      </c>
      <c r="D486">
        <v>0</v>
      </c>
      <c r="E486">
        <v>1985</v>
      </c>
      <c r="F486">
        <v>5</v>
      </c>
      <c r="G486" t="s">
        <v>68</v>
      </c>
      <c r="H486" t="s">
        <v>73</v>
      </c>
    </row>
    <row r="487" spans="1:8" x14ac:dyDescent="0.3">
      <c r="A487" t="s">
        <v>34</v>
      </c>
      <c r="B487">
        <v>2</v>
      </c>
      <c r="C487" t="s">
        <v>30</v>
      </c>
      <c r="D487">
        <v>0</v>
      </c>
      <c r="E487">
        <v>1985</v>
      </c>
      <c r="F487">
        <v>8</v>
      </c>
      <c r="G487" t="s">
        <v>68</v>
      </c>
      <c r="H487" t="s">
        <v>73</v>
      </c>
    </row>
    <row r="488" spans="1:8" x14ac:dyDescent="0.3">
      <c r="A488" t="s">
        <v>34</v>
      </c>
      <c r="B488">
        <v>2</v>
      </c>
      <c r="C488" t="s">
        <v>30</v>
      </c>
      <c r="E488">
        <v>1986</v>
      </c>
      <c r="F488">
        <v>1</v>
      </c>
      <c r="G488" t="s">
        <v>68</v>
      </c>
      <c r="H488" t="s">
        <v>73</v>
      </c>
    </row>
    <row r="489" spans="1:8" x14ac:dyDescent="0.3">
      <c r="A489" t="s">
        <v>34</v>
      </c>
      <c r="B489">
        <v>2</v>
      </c>
      <c r="C489" t="s">
        <v>30</v>
      </c>
      <c r="E489">
        <v>1987</v>
      </c>
      <c r="F489">
        <v>1</v>
      </c>
      <c r="G489" t="s">
        <v>68</v>
      </c>
      <c r="H489" t="s">
        <v>73</v>
      </c>
    </row>
    <row r="490" spans="1:8" x14ac:dyDescent="0.3">
      <c r="A490" t="s">
        <v>34</v>
      </c>
      <c r="B490">
        <v>2</v>
      </c>
      <c r="C490" t="s">
        <v>30</v>
      </c>
      <c r="E490">
        <v>1988</v>
      </c>
      <c r="F490">
        <v>1</v>
      </c>
      <c r="G490" t="s">
        <v>68</v>
      </c>
      <c r="H490" t="s">
        <v>73</v>
      </c>
    </row>
    <row r="491" spans="1:8" x14ac:dyDescent="0.3">
      <c r="A491" t="s">
        <v>34</v>
      </c>
      <c r="B491">
        <v>2</v>
      </c>
      <c r="C491" t="s">
        <v>30</v>
      </c>
      <c r="E491">
        <v>1989</v>
      </c>
      <c r="F491">
        <v>1</v>
      </c>
      <c r="G491" t="s">
        <v>68</v>
      </c>
      <c r="H491" t="s">
        <v>73</v>
      </c>
    </row>
    <row r="492" spans="1:8" x14ac:dyDescent="0.3">
      <c r="A492" t="s">
        <v>34</v>
      </c>
      <c r="B492">
        <v>2</v>
      </c>
      <c r="C492" t="s">
        <v>30</v>
      </c>
      <c r="E492">
        <v>1990</v>
      </c>
      <c r="F492">
        <v>1</v>
      </c>
      <c r="G492" t="s">
        <v>68</v>
      </c>
      <c r="H492" t="s">
        <v>73</v>
      </c>
    </row>
    <row r="493" spans="1:8" x14ac:dyDescent="0.3">
      <c r="A493" t="s">
        <v>34</v>
      </c>
      <c r="B493">
        <v>2</v>
      </c>
      <c r="C493" t="s">
        <v>30</v>
      </c>
      <c r="E493">
        <v>1991</v>
      </c>
      <c r="F493">
        <v>1</v>
      </c>
      <c r="G493" t="s">
        <v>68</v>
      </c>
      <c r="H493" t="s">
        <v>73</v>
      </c>
    </row>
    <row r="494" spans="1:8" x14ac:dyDescent="0.3">
      <c r="A494" t="s">
        <v>34</v>
      </c>
      <c r="B494">
        <v>2</v>
      </c>
      <c r="C494" t="s">
        <v>30</v>
      </c>
      <c r="E494">
        <v>1992</v>
      </c>
      <c r="F494">
        <v>1</v>
      </c>
      <c r="G494" t="s">
        <v>68</v>
      </c>
      <c r="H494" t="s">
        <v>73</v>
      </c>
    </row>
    <row r="495" spans="1:8" x14ac:dyDescent="0.3">
      <c r="A495" t="s">
        <v>34</v>
      </c>
      <c r="B495">
        <v>2</v>
      </c>
      <c r="C495" t="s">
        <v>30</v>
      </c>
      <c r="E495">
        <v>1993</v>
      </c>
      <c r="F495">
        <v>1</v>
      </c>
      <c r="G495" t="s">
        <v>68</v>
      </c>
      <c r="H495" t="s">
        <v>73</v>
      </c>
    </row>
    <row r="496" spans="1:8" x14ac:dyDescent="0.3">
      <c r="A496" t="s">
        <v>34</v>
      </c>
      <c r="B496">
        <v>2</v>
      </c>
      <c r="C496" t="s">
        <v>30</v>
      </c>
      <c r="E496">
        <v>1994</v>
      </c>
      <c r="F496">
        <v>1</v>
      </c>
      <c r="G496" t="s">
        <v>68</v>
      </c>
      <c r="H496" t="s">
        <v>73</v>
      </c>
    </row>
    <row r="497" spans="1:8" x14ac:dyDescent="0.3">
      <c r="A497" t="s">
        <v>34</v>
      </c>
      <c r="B497">
        <v>2</v>
      </c>
      <c r="C497" t="s">
        <v>30</v>
      </c>
      <c r="E497">
        <v>1995</v>
      </c>
      <c r="F497">
        <v>1</v>
      </c>
      <c r="G497" t="s">
        <v>68</v>
      </c>
      <c r="H497" t="s">
        <v>73</v>
      </c>
    </row>
    <row r="498" spans="1:8" x14ac:dyDescent="0.3">
      <c r="A498" t="s">
        <v>34</v>
      </c>
      <c r="B498">
        <v>2</v>
      </c>
      <c r="C498" t="s">
        <v>30</v>
      </c>
      <c r="E498">
        <v>1996</v>
      </c>
      <c r="F498">
        <v>1</v>
      </c>
      <c r="G498" t="s">
        <v>68</v>
      </c>
      <c r="H498" t="s">
        <v>73</v>
      </c>
    </row>
    <row r="499" spans="1:8" x14ac:dyDescent="0.3">
      <c r="A499" t="s">
        <v>34</v>
      </c>
      <c r="B499">
        <v>2</v>
      </c>
      <c r="C499" t="s">
        <v>30</v>
      </c>
      <c r="E499">
        <v>1997</v>
      </c>
      <c r="F499">
        <v>1</v>
      </c>
      <c r="G499" t="s">
        <v>68</v>
      </c>
      <c r="H499" t="s">
        <v>73</v>
      </c>
    </row>
    <row r="500" spans="1:8" x14ac:dyDescent="0.3">
      <c r="A500" t="s">
        <v>34</v>
      </c>
      <c r="B500">
        <v>2</v>
      </c>
      <c r="C500" t="s">
        <v>30</v>
      </c>
      <c r="E500">
        <v>1998</v>
      </c>
      <c r="F500">
        <v>1</v>
      </c>
      <c r="G500" t="s">
        <v>68</v>
      </c>
      <c r="H500" t="s">
        <v>73</v>
      </c>
    </row>
    <row r="501" spans="1:8" x14ac:dyDescent="0.3">
      <c r="A501" t="s">
        <v>34</v>
      </c>
      <c r="B501">
        <v>2</v>
      </c>
      <c r="C501" t="s">
        <v>30</v>
      </c>
      <c r="E501">
        <v>1999</v>
      </c>
      <c r="F501">
        <v>1</v>
      </c>
      <c r="G501" t="s">
        <v>68</v>
      </c>
      <c r="H501" t="s">
        <v>73</v>
      </c>
    </row>
    <row r="502" spans="1:8" x14ac:dyDescent="0.3">
      <c r="A502" t="s">
        <v>34</v>
      </c>
      <c r="B502">
        <v>2</v>
      </c>
      <c r="C502" t="s">
        <v>30</v>
      </c>
      <c r="E502">
        <v>2000</v>
      </c>
      <c r="F502">
        <v>1</v>
      </c>
      <c r="G502" t="s">
        <v>68</v>
      </c>
      <c r="H502" t="s">
        <v>73</v>
      </c>
    </row>
    <row r="503" spans="1:8" x14ac:dyDescent="0.3">
      <c r="A503" t="s">
        <v>34</v>
      </c>
      <c r="B503">
        <v>2</v>
      </c>
      <c r="C503" t="s">
        <v>30</v>
      </c>
      <c r="E503">
        <v>2001</v>
      </c>
      <c r="F503">
        <v>1</v>
      </c>
      <c r="G503" t="s">
        <v>68</v>
      </c>
      <c r="H503" t="s">
        <v>73</v>
      </c>
    </row>
    <row r="504" spans="1:8" x14ac:dyDescent="0.3">
      <c r="A504" t="s">
        <v>34</v>
      </c>
      <c r="B504">
        <v>2</v>
      </c>
      <c r="C504" t="s">
        <v>30</v>
      </c>
      <c r="E504">
        <v>2002</v>
      </c>
      <c r="F504">
        <v>1</v>
      </c>
      <c r="G504" t="s">
        <v>68</v>
      </c>
      <c r="H504" t="s">
        <v>73</v>
      </c>
    </row>
    <row r="505" spans="1:8" x14ac:dyDescent="0.3">
      <c r="A505" t="s">
        <v>34</v>
      </c>
      <c r="B505">
        <v>2</v>
      </c>
      <c r="C505" t="s">
        <v>30</v>
      </c>
      <c r="E505">
        <v>2003</v>
      </c>
      <c r="F505">
        <v>1</v>
      </c>
      <c r="G505" t="s">
        <v>68</v>
      </c>
      <c r="H505" t="s">
        <v>73</v>
      </c>
    </row>
    <row r="506" spans="1:8" x14ac:dyDescent="0.3">
      <c r="A506" t="s">
        <v>34</v>
      </c>
      <c r="B506">
        <v>2</v>
      </c>
      <c r="C506" t="s">
        <v>30</v>
      </c>
      <c r="E506">
        <v>2004</v>
      </c>
      <c r="F506">
        <v>1</v>
      </c>
      <c r="G506" t="s">
        <v>68</v>
      </c>
      <c r="H506" t="s">
        <v>73</v>
      </c>
    </row>
    <row r="507" spans="1:8" x14ac:dyDescent="0.3">
      <c r="A507" t="s">
        <v>34</v>
      </c>
      <c r="B507">
        <v>2</v>
      </c>
      <c r="C507" t="s">
        <v>30</v>
      </c>
      <c r="D507">
        <v>0</v>
      </c>
      <c r="E507">
        <v>2005</v>
      </c>
      <c r="F507">
        <v>7</v>
      </c>
      <c r="G507" t="s">
        <v>68</v>
      </c>
      <c r="H507" t="s">
        <v>73</v>
      </c>
    </row>
    <row r="508" spans="1:8" x14ac:dyDescent="0.3">
      <c r="A508" t="s">
        <v>34</v>
      </c>
      <c r="B508">
        <v>2</v>
      </c>
      <c r="C508" t="s">
        <v>30</v>
      </c>
      <c r="D508">
        <v>0</v>
      </c>
      <c r="E508">
        <v>2006</v>
      </c>
      <c r="F508">
        <v>4</v>
      </c>
      <c r="G508" t="s">
        <v>68</v>
      </c>
      <c r="H508" t="s">
        <v>73</v>
      </c>
    </row>
    <row r="509" spans="1:8" x14ac:dyDescent="0.3">
      <c r="A509" t="s">
        <v>34</v>
      </c>
      <c r="B509">
        <v>2</v>
      </c>
      <c r="C509" t="s">
        <v>30</v>
      </c>
      <c r="D509">
        <v>0</v>
      </c>
      <c r="E509">
        <v>2006</v>
      </c>
      <c r="F509">
        <v>8</v>
      </c>
      <c r="G509" t="s">
        <v>68</v>
      </c>
      <c r="H509" t="s">
        <v>73</v>
      </c>
    </row>
    <row r="510" spans="1:8" x14ac:dyDescent="0.3">
      <c r="A510" t="s">
        <v>34</v>
      </c>
      <c r="B510">
        <v>3</v>
      </c>
      <c r="C510" t="s">
        <v>31</v>
      </c>
      <c r="D510">
        <v>1014</v>
      </c>
      <c r="E510">
        <v>1978</v>
      </c>
      <c r="F510">
        <v>5</v>
      </c>
      <c r="G510" t="s">
        <v>68</v>
      </c>
      <c r="H510" t="s">
        <v>73</v>
      </c>
    </row>
    <row r="511" spans="1:8" x14ac:dyDescent="0.3">
      <c r="A511" t="s">
        <v>34</v>
      </c>
      <c r="B511">
        <v>3</v>
      </c>
      <c r="C511" t="s">
        <v>31</v>
      </c>
      <c r="D511">
        <v>389</v>
      </c>
      <c r="E511">
        <v>1978</v>
      </c>
      <c r="F511">
        <v>8</v>
      </c>
      <c r="G511" t="s">
        <v>68</v>
      </c>
      <c r="H511" t="s">
        <v>73</v>
      </c>
    </row>
    <row r="512" spans="1:8" x14ac:dyDescent="0.3">
      <c r="A512" t="s">
        <v>34</v>
      </c>
      <c r="B512">
        <v>3</v>
      </c>
      <c r="C512" t="s">
        <v>31</v>
      </c>
      <c r="E512">
        <v>1979</v>
      </c>
      <c r="F512">
        <v>1</v>
      </c>
      <c r="G512" t="s">
        <v>68</v>
      </c>
      <c r="H512" t="s">
        <v>73</v>
      </c>
    </row>
    <row r="513" spans="1:8" x14ac:dyDescent="0.3">
      <c r="A513" t="s">
        <v>34</v>
      </c>
      <c r="B513">
        <v>3</v>
      </c>
      <c r="C513" t="s">
        <v>31</v>
      </c>
      <c r="E513">
        <v>1980</v>
      </c>
      <c r="F513">
        <v>1</v>
      </c>
      <c r="G513" t="s">
        <v>68</v>
      </c>
      <c r="H513" t="s">
        <v>73</v>
      </c>
    </row>
    <row r="514" spans="1:8" x14ac:dyDescent="0.3">
      <c r="A514" t="s">
        <v>34</v>
      </c>
      <c r="B514">
        <v>3</v>
      </c>
      <c r="C514" t="s">
        <v>31</v>
      </c>
      <c r="E514">
        <v>1981</v>
      </c>
      <c r="F514">
        <v>1</v>
      </c>
      <c r="G514" t="s">
        <v>68</v>
      </c>
      <c r="H514" t="s">
        <v>73</v>
      </c>
    </row>
    <row r="515" spans="1:8" x14ac:dyDescent="0.3">
      <c r="A515" t="s">
        <v>34</v>
      </c>
      <c r="B515">
        <v>3</v>
      </c>
      <c r="C515" t="s">
        <v>31</v>
      </c>
      <c r="E515">
        <v>1982</v>
      </c>
      <c r="F515">
        <v>1</v>
      </c>
      <c r="G515" t="s">
        <v>68</v>
      </c>
      <c r="H515" t="s">
        <v>73</v>
      </c>
    </row>
    <row r="516" spans="1:8" x14ac:dyDescent="0.3">
      <c r="A516" t="s">
        <v>34</v>
      </c>
      <c r="B516">
        <v>3</v>
      </c>
      <c r="C516" t="s">
        <v>31</v>
      </c>
      <c r="E516">
        <v>1983</v>
      </c>
      <c r="F516">
        <v>1</v>
      </c>
      <c r="G516" t="s">
        <v>68</v>
      </c>
      <c r="H516" t="s">
        <v>73</v>
      </c>
    </row>
    <row r="517" spans="1:8" x14ac:dyDescent="0.3">
      <c r="A517" t="s">
        <v>34</v>
      </c>
      <c r="B517">
        <v>3</v>
      </c>
      <c r="C517" t="s">
        <v>31</v>
      </c>
      <c r="E517">
        <v>1984</v>
      </c>
      <c r="F517">
        <v>1</v>
      </c>
      <c r="G517" t="s">
        <v>68</v>
      </c>
      <c r="H517" t="s">
        <v>73</v>
      </c>
    </row>
    <row r="518" spans="1:8" x14ac:dyDescent="0.3">
      <c r="A518" t="s">
        <v>34</v>
      </c>
      <c r="B518">
        <v>3</v>
      </c>
      <c r="C518" t="s">
        <v>31</v>
      </c>
      <c r="D518">
        <v>385</v>
      </c>
      <c r="E518">
        <v>1985</v>
      </c>
      <c r="F518">
        <v>7</v>
      </c>
      <c r="G518" t="s">
        <v>68</v>
      </c>
      <c r="H518" t="s">
        <v>73</v>
      </c>
    </row>
    <row r="519" spans="1:8" x14ac:dyDescent="0.3">
      <c r="A519" t="s">
        <v>34</v>
      </c>
      <c r="B519">
        <v>3</v>
      </c>
      <c r="C519" t="s">
        <v>31</v>
      </c>
      <c r="D519">
        <v>694</v>
      </c>
      <c r="E519">
        <v>1985</v>
      </c>
      <c r="F519">
        <v>9</v>
      </c>
      <c r="G519" t="s">
        <v>68</v>
      </c>
      <c r="H519" t="s">
        <v>73</v>
      </c>
    </row>
    <row r="520" spans="1:8" x14ac:dyDescent="0.3">
      <c r="A520" t="s">
        <v>34</v>
      </c>
      <c r="B520">
        <v>3</v>
      </c>
      <c r="C520" t="s">
        <v>31</v>
      </c>
      <c r="E520">
        <v>1986</v>
      </c>
      <c r="F520">
        <v>1</v>
      </c>
      <c r="G520" t="s">
        <v>68</v>
      </c>
      <c r="H520" t="s">
        <v>73</v>
      </c>
    </row>
    <row r="521" spans="1:8" x14ac:dyDescent="0.3">
      <c r="A521" t="s">
        <v>34</v>
      </c>
      <c r="B521">
        <v>3</v>
      </c>
      <c r="C521" t="s">
        <v>31</v>
      </c>
      <c r="E521">
        <v>1987</v>
      </c>
      <c r="F521">
        <v>1</v>
      </c>
      <c r="G521" t="s">
        <v>68</v>
      </c>
      <c r="H521" t="s">
        <v>73</v>
      </c>
    </row>
    <row r="522" spans="1:8" x14ac:dyDescent="0.3">
      <c r="A522" t="s">
        <v>34</v>
      </c>
      <c r="B522">
        <v>3</v>
      </c>
      <c r="C522" t="s">
        <v>31</v>
      </c>
      <c r="E522">
        <v>1988</v>
      </c>
      <c r="F522">
        <v>1</v>
      </c>
      <c r="G522" t="s">
        <v>68</v>
      </c>
      <c r="H522" t="s">
        <v>73</v>
      </c>
    </row>
    <row r="523" spans="1:8" x14ac:dyDescent="0.3">
      <c r="A523" t="s">
        <v>34</v>
      </c>
      <c r="B523">
        <v>3</v>
      </c>
      <c r="C523" t="s">
        <v>31</v>
      </c>
      <c r="E523">
        <v>1989</v>
      </c>
      <c r="F523">
        <v>1</v>
      </c>
      <c r="G523" t="s">
        <v>68</v>
      </c>
      <c r="H523" t="s">
        <v>73</v>
      </c>
    </row>
    <row r="524" spans="1:8" x14ac:dyDescent="0.3">
      <c r="A524" t="s">
        <v>34</v>
      </c>
      <c r="B524">
        <v>3</v>
      </c>
      <c r="C524" t="s">
        <v>31</v>
      </c>
      <c r="E524">
        <v>1990</v>
      </c>
      <c r="F524">
        <v>1</v>
      </c>
      <c r="G524" t="s">
        <v>68</v>
      </c>
      <c r="H524" t="s">
        <v>73</v>
      </c>
    </row>
    <row r="525" spans="1:8" x14ac:dyDescent="0.3">
      <c r="A525" t="s">
        <v>34</v>
      </c>
      <c r="B525">
        <v>3</v>
      </c>
      <c r="C525" t="s">
        <v>31</v>
      </c>
      <c r="E525">
        <v>1991</v>
      </c>
      <c r="F525">
        <v>1</v>
      </c>
      <c r="G525" t="s">
        <v>68</v>
      </c>
      <c r="H525" t="s">
        <v>73</v>
      </c>
    </row>
    <row r="526" spans="1:8" x14ac:dyDescent="0.3">
      <c r="A526" t="s">
        <v>34</v>
      </c>
      <c r="B526">
        <v>3</v>
      </c>
      <c r="C526" t="s">
        <v>31</v>
      </c>
      <c r="E526">
        <v>1992</v>
      </c>
      <c r="F526">
        <v>1</v>
      </c>
      <c r="G526" t="s">
        <v>68</v>
      </c>
      <c r="H526" t="s">
        <v>73</v>
      </c>
    </row>
    <row r="527" spans="1:8" x14ac:dyDescent="0.3">
      <c r="A527" t="s">
        <v>34</v>
      </c>
      <c r="B527">
        <v>3</v>
      </c>
      <c r="C527" t="s">
        <v>31</v>
      </c>
      <c r="E527">
        <v>1993</v>
      </c>
      <c r="F527">
        <v>1</v>
      </c>
      <c r="G527" t="s">
        <v>68</v>
      </c>
      <c r="H527" t="s">
        <v>73</v>
      </c>
    </row>
    <row r="528" spans="1:8" x14ac:dyDescent="0.3">
      <c r="A528" t="s">
        <v>34</v>
      </c>
      <c r="B528">
        <v>3</v>
      </c>
      <c r="C528" t="s">
        <v>31</v>
      </c>
      <c r="E528">
        <v>1994</v>
      </c>
      <c r="F528">
        <v>1</v>
      </c>
      <c r="G528" t="s">
        <v>68</v>
      </c>
      <c r="H528" t="s">
        <v>73</v>
      </c>
    </row>
    <row r="529" spans="1:8" x14ac:dyDescent="0.3">
      <c r="A529" t="s">
        <v>34</v>
      </c>
      <c r="B529">
        <v>3</v>
      </c>
      <c r="C529" t="s">
        <v>31</v>
      </c>
      <c r="E529">
        <v>1995</v>
      </c>
      <c r="F529">
        <v>1</v>
      </c>
      <c r="G529" t="s">
        <v>68</v>
      </c>
      <c r="H529" t="s">
        <v>73</v>
      </c>
    </row>
    <row r="530" spans="1:8" x14ac:dyDescent="0.3">
      <c r="A530" t="s">
        <v>34</v>
      </c>
      <c r="B530">
        <v>3</v>
      </c>
      <c r="C530" t="s">
        <v>31</v>
      </c>
      <c r="E530">
        <v>1996</v>
      </c>
      <c r="F530">
        <v>1</v>
      </c>
      <c r="G530" t="s">
        <v>68</v>
      </c>
      <c r="H530" t="s">
        <v>73</v>
      </c>
    </row>
    <row r="531" spans="1:8" x14ac:dyDescent="0.3">
      <c r="A531" t="s">
        <v>34</v>
      </c>
      <c r="B531">
        <v>3</v>
      </c>
      <c r="C531" t="s">
        <v>31</v>
      </c>
      <c r="E531">
        <v>1997</v>
      </c>
      <c r="F531">
        <v>1</v>
      </c>
      <c r="G531" t="s">
        <v>68</v>
      </c>
      <c r="H531" t="s">
        <v>73</v>
      </c>
    </row>
    <row r="532" spans="1:8" x14ac:dyDescent="0.3">
      <c r="A532" t="s">
        <v>34</v>
      </c>
      <c r="B532">
        <v>3</v>
      </c>
      <c r="C532" t="s">
        <v>31</v>
      </c>
      <c r="E532">
        <v>1998</v>
      </c>
      <c r="F532">
        <v>1</v>
      </c>
      <c r="G532" t="s">
        <v>68</v>
      </c>
      <c r="H532" t="s">
        <v>73</v>
      </c>
    </row>
    <row r="533" spans="1:8" x14ac:dyDescent="0.3">
      <c r="A533" t="s">
        <v>34</v>
      </c>
      <c r="B533">
        <v>3</v>
      </c>
      <c r="C533" t="s">
        <v>31</v>
      </c>
      <c r="E533">
        <v>1999</v>
      </c>
      <c r="F533">
        <v>1</v>
      </c>
      <c r="G533" t="s">
        <v>68</v>
      </c>
      <c r="H533" t="s">
        <v>73</v>
      </c>
    </row>
    <row r="534" spans="1:8" x14ac:dyDescent="0.3">
      <c r="A534" t="s">
        <v>34</v>
      </c>
      <c r="B534">
        <v>3</v>
      </c>
      <c r="C534" t="s">
        <v>31</v>
      </c>
      <c r="E534">
        <v>2000</v>
      </c>
      <c r="F534">
        <v>1</v>
      </c>
      <c r="G534" t="s">
        <v>68</v>
      </c>
      <c r="H534" t="s">
        <v>73</v>
      </c>
    </row>
    <row r="535" spans="1:8" x14ac:dyDescent="0.3">
      <c r="A535" t="s">
        <v>34</v>
      </c>
      <c r="B535">
        <v>3</v>
      </c>
      <c r="C535" t="s">
        <v>31</v>
      </c>
      <c r="E535">
        <v>2001</v>
      </c>
      <c r="F535">
        <v>1</v>
      </c>
      <c r="G535" t="s">
        <v>68</v>
      </c>
      <c r="H535" t="s">
        <v>73</v>
      </c>
    </row>
    <row r="536" spans="1:8" x14ac:dyDescent="0.3">
      <c r="A536" t="s">
        <v>34</v>
      </c>
      <c r="B536">
        <v>3</v>
      </c>
      <c r="C536" t="s">
        <v>31</v>
      </c>
      <c r="E536">
        <v>2002</v>
      </c>
      <c r="F536">
        <v>1</v>
      </c>
      <c r="G536" t="s">
        <v>68</v>
      </c>
      <c r="H536" t="s">
        <v>73</v>
      </c>
    </row>
    <row r="537" spans="1:8" x14ac:dyDescent="0.3">
      <c r="A537" t="s">
        <v>34</v>
      </c>
      <c r="B537">
        <v>3</v>
      </c>
      <c r="C537" t="s">
        <v>31</v>
      </c>
      <c r="E537">
        <v>2003</v>
      </c>
      <c r="F537">
        <v>1</v>
      </c>
      <c r="G537" t="s">
        <v>68</v>
      </c>
      <c r="H537" t="s">
        <v>73</v>
      </c>
    </row>
    <row r="538" spans="1:8" x14ac:dyDescent="0.3">
      <c r="A538" t="s">
        <v>34</v>
      </c>
      <c r="B538">
        <v>3</v>
      </c>
      <c r="C538" t="s">
        <v>31</v>
      </c>
      <c r="E538">
        <v>2004</v>
      </c>
      <c r="F538">
        <v>1</v>
      </c>
      <c r="G538" t="s">
        <v>68</v>
      </c>
      <c r="H538" t="s">
        <v>73</v>
      </c>
    </row>
    <row r="539" spans="1:8" x14ac:dyDescent="0.3">
      <c r="A539" t="s">
        <v>34</v>
      </c>
      <c r="B539">
        <v>3</v>
      </c>
      <c r="C539" t="s">
        <v>31</v>
      </c>
      <c r="D539">
        <v>0</v>
      </c>
      <c r="E539">
        <v>2005</v>
      </c>
      <c r="F539">
        <v>7</v>
      </c>
      <c r="G539" t="s">
        <v>68</v>
      </c>
      <c r="H539" t="s">
        <v>73</v>
      </c>
    </row>
    <row r="540" spans="1:8" x14ac:dyDescent="0.3">
      <c r="A540" t="s">
        <v>34</v>
      </c>
      <c r="B540">
        <v>3</v>
      </c>
      <c r="C540" t="s">
        <v>31</v>
      </c>
      <c r="D540">
        <v>1.3</v>
      </c>
      <c r="E540">
        <v>2006</v>
      </c>
      <c r="F540">
        <v>4</v>
      </c>
      <c r="G540" t="s">
        <v>68</v>
      </c>
      <c r="H540" t="s">
        <v>73</v>
      </c>
    </row>
    <row r="541" spans="1:8" x14ac:dyDescent="0.3">
      <c r="A541" t="s">
        <v>34</v>
      </c>
      <c r="B541">
        <v>3</v>
      </c>
      <c r="C541" t="s">
        <v>31</v>
      </c>
      <c r="D541">
        <v>21.3</v>
      </c>
      <c r="E541">
        <v>2006</v>
      </c>
      <c r="F541">
        <v>8</v>
      </c>
      <c r="G541" t="s">
        <v>68</v>
      </c>
      <c r="H541" t="s">
        <v>73</v>
      </c>
    </row>
    <row r="542" spans="1:8" x14ac:dyDescent="0.3">
      <c r="A542" t="s">
        <v>34</v>
      </c>
      <c r="B542">
        <v>4</v>
      </c>
      <c r="C542" t="s">
        <v>32</v>
      </c>
      <c r="D542">
        <v>1.6</v>
      </c>
      <c r="E542">
        <v>1978</v>
      </c>
      <c r="F542">
        <v>4</v>
      </c>
      <c r="G542" t="s">
        <v>68</v>
      </c>
      <c r="H542" t="s">
        <v>73</v>
      </c>
    </row>
    <row r="543" spans="1:8" x14ac:dyDescent="0.3">
      <c r="A543" t="s">
        <v>34</v>
      </c>
      <c r="B543">
        <v>4</v>
      </c>
      <c r="C543" t="s">
        <v>32</v>
      </c>
      <c r="D543">
        <v>0</v>
      </c>
      <c r="E543">
        <v>1978</v>
      </c>
      <c r="F543">
        <v>9</v>
      </c>
      <c r="G543" t="s">
        <v>68</v>
      </c>
      <c r="H543" t="s">
        <v>73</v>
      </c>
    </row>
    <row r="544" spans="1:8" x14ac:dyDescent="0.3">
      <c r="A544" t="s">
        <v>34</v>
      </c>
      <c r="B544">
        <v>4</v>
      </c>
      <c r="C544" t="s">
        <v>32</v>
      </c>
      <c r="E544">
        <v>1979</v>
      </c>
      <c r="F544">
        <v>1</v>
      </c>
      <c r="G544" t="s">
        <v>68</v>
      </c>
      <c r="H544" t="s">
        <v>73</v>
      </c>
    </row>
    <row r="545" spans="1:8" x14ac:dyDescent="0.3">
      <c r="A545" t="s">
        <v>34</v>
      </c>
      <c r="B545">
        <v>4</v>
      </c>
      <c r="C545" t="s">
        <v>32</v>
      </c>
      <c r="E545">
        <v>1980</v>
      </c>
      <c r="F545">
        <v>1</v>
      </c>
      <c r="G545" t="s">
        <v>68</v>
      </c>
      <c r="H545" t="s">
        <v>73</v>
      </c>
    </row>
    <row r="546" spans="1:8" x14ac:dyDescent="0.3">
      <c r="A546" t="s">
        <v>34</v>
      </c>
      <c r="B546">
        <v>4</v>
      </c>
      <c r="C546" t="s">
        <v>32</v>
      </c>
      <c r="E546">
        <v>1981</v>
      </c>
      <c r="F546">
        <v>1</v>
      </c>
      <c r="G546" t="s">
        <v>68</v>
      </c>
      <c r="H546" t="s">
        <v>73</v>
      </c>
    </row>
    <row r="547" spans="1:8" x14ac:dyDescent="0.3">
      <c r="A547" t="s">
        <v>34</v>
      </c>
      <c r="B547">
        <v>4</v>
      </c>
      <c r="C547" t="s">
        <v>32</v>
      </c>
      <c r="E547">
        <v>1982</v>
      </c>
      <c r="F547">
        <v>1</v>
      </c>
      <c r="G547" t="s">
        <v>68</v>
      </c>
      <c r="H547" t="s">
        <v>73</v>
      </c>
    </row>
    <row r="548" spans="1:8" x14ac:dyDescent="0.3">
      <c r="A548" t="s">
        <v>34</v>
      </c>
      <c r="B548">
        <v>4</v>
      </c>
      <c r="C548" t="s">
        <v>32</v>
      </c>
      <c r="E548">
        <v>1983</v>
      </c>
      <c r="F548">
        <v>1</v>
      </c>
      <c r="G548" t="s">
        <v>68</v>
      </c>
      <c r="H548" t="s">
        <v>73</v>
      </c>
    </row>
    <row r="549" spans="1:8" x14ac:dyDescent="0.3">
      <c r="A549" t="s">
        <v>34</v>
      </c>
      <c r="B549">
        <v>4</v>
      </c>
      <c r="C549" t="s">
        <v>32</v>
      </c>
      <c r="D549">
        <v>0</v>
      </c>
      <c r="E549">
        <v>1984</v>
      </c>
      <c r="F549">
        <v>6</v>
      </c>
      <c r="G549" t="s">
        <v>68</v>
      </c>
      <c r="H549" t="s">
        <v>73</v>
      </c>
    </row>
    <row r="550" spans="1:8" x14ac:dyDescent="0.3">
      <c r="A550" t="s">
        <v>34</v>
      </c>
      <c r="B550">
        <v>4</v>
      </c>
      <c r="C550" t="s">
        <v>32</v>
      </c>
      <c r="D550">
        <v>0</v>
      </c>
      <c r="E550">
        <v>1984</v>
      </c>
      <c r="F550">
        <v>9</v>
      </c>
      <c r="G550" t="s">
        <v>68</v>
      </c>
      <c r="H550" t="s">
        <v>73</v>
      </c>
    </row>
    <row r="551" spans="1:8" x14ac:dyDescent="0.3">
      <c r="A551" t="s">
        <v>34</v>
      </c>
      <c r="B551">
        <v>4</v>
      </c>
      <c r="C551" t="s">
        <v>32</v>
      </c>
      <c r="E551">
        <v>1985</v>
      </c>
      <c r="F551">
        <v>1</v>
      </c>
      <c r="G551" t="s">
        <v>68</v>
      </c>
      <c r="H551" t="s">
        <v>73</v>
      </c>
    </row>
    <row r="552" spans="1:8" x14ac:dyDescent="0.3">
      <c r="A552" t="s">
        <v>34</v>
      </c>
      <c r="B552">
        <v>4</v>
      </c>
      <c r="C552" t="s">
        <v>32</v>
      </c>
      <c r="E552">
        <v>1986</v>
      </c>
      <c r="F552">
        <v>1</v>
      </c>
      <c r="G552" t="s">
        <v>68</v>
      </c>
      <c r="H552" t="s">
        <v>73</v>
      </c>
    </row>
    <row r="553" spans="1:8" x14ac:dyDescent="0.3">
      <c r="A553" t="s">
        <v>34</v>
      </c>
      <c r="B553">
        <v>4</v>
      </c>
      <c r="C553" t="s">
        <v>32</v>
      </c>
      <c r="E553">
        <v>1987</v>
      </c>
      <c r="F553">
        <v>1</v>
      </c>
      <c r="G553" t="s">
        <v>68</v>
      </c>
      <c r="H553" t="s">
        <v>73</v>
      </c>
    </row>
    <row r="554" spans="1:8" x14ac:dyDescent="0.3">
      <c r="A554" t="s">
        <v>34</v>
      </c>
      <c r="B554">
        <v>4</v>
      </c>
      <c r="C554" t="s">
        <v>32</v>
      </c>
      <c r="E554">
        <v>1988</v>
      </c>
      <c r="F554">
        <v>1</v>
      </c>
      <c r="G554" t="s">
        <v>68</v>
      </c>
      <c r="H554" t="s">
        <v>73</v>
      </c>
    </row>
    <row r="555" spans="1:8" x14ac:dyDescent="0.3">
      <c r="A555" t="s">
        <v>34</v>
      </c>
      <c r="B555">
        <v>4</v>
      </c>
      <c r="C555" t="s">
        <v>32</v>
      </c>
      <c r="E555">
        <v>1989</v>
      </c>
      <c r="F555">
        <v>1</v>
      </c>
      <c r="G555" t="s">
        <v>68</v>
      </c>
      <c r="H555" t="s">
        <v>73</v>
      </c>
    </row>
    <row r="556" spans="1:8" x14ac:dyDescent="0.3">
      <c r="A556" t="s">
        <v>34</v>
      </c>
      <c r="B556">
        <v>4</v>
      </c>
      <c r="C556" t="s">
        <v>32</v>
      </c>
      <c r="E556">
        <v>1990</v>
      </c>
      <c r="F556">
        <v>1</v>
      </c>
      <c r="G556" t="s">
        <v>68</v>
      </c>
      <c r="H556" t="s">
        <v>73</v>
      </c>
    </row>
    <row r="557" spans="1:8" x14ac:dyDescent="0.3">
      <c r="A557" t="s">
        <v>34</v>
      </c>
      <c r="B557">
        <v>4</v>
      </c>
      <c r="C557" t="s">
        <v>32</v>
      </c>
      <c r="E557">
        <v>1991</v>
      </c>
      <c r="F557">
        <v>1</v>
      </c>
      <c r="G557" t="s">
        <v>68</v>
      </c>
      <c r="H557" t="s">
        <v>73</v>
      </c>
    </row>
    <row r="558" spans="1:8" x14ac:dyDescent="0.3">
      <c r="A558" t="s">
        <v>34</v>
      </c>
      <c r="B558">
        <v>4</v>
      </c>
      <c r="C558" t="s">
        <v>32</v>
      </c>
      <c r="E558">
        <v>1992</v>
      </c>
      <c r="F558">
        <v>1</v>
      </c>
      <c r="G558" t="s">
        <v>68</v>
      </c>
      <c r="H558" t="s">
        <v>73</v>
      </c>
    </row>
    <row r="559" spans="1:8" x14ac:dyDescent="0.3">
      <c r="A559" t="s">
        <v>34</v>
      </c>
      <c r="B559">
        <v>4</v>
      </c>
      <c r="C559" t="s">
        <v>32</v>
      </c>
      <c r="E559">
        <v>1993</v>
      </c>
      <c r="F559">
        <v>1</v>
      </c>
      <c r="G559" t="s">
        <v>68</v>
      </c>
      <c r="H559" t="s">
        <v>73</v>
      </c>
    </row>
    <row r="560" spans="1:8" x14ac:dyDescent="0.3">
      <c r="A560" t="s">
        <v>34</v>
      </c>
      <c r="B560">
        <v>4</v>
      </c>
      <c r="C560" t="s">
        <v>32</v>
      </c>
      <c r="E560">
        <v>1994</v>
      </c>
      <c r="F560">
        <v>1</v>
      </c>
      <c r="G560" t="s">
        <v>68</v>
      </c>
      <c r="H560" t="s">
        <v>73</v>
      </c>
    </row>
    <row r="561" spans="1:8" x14ac:dyDescent="0.3">
      <c r="A561" t="s">
        <v>34</v>
      </c>
      <c r="B561">
        <v>4</v>
      </c>
      <c r="C561" t="s">
        <v>32</v>
      </c>
      <c r="E561">
        <v>1995</v>
      </c>
      <c r="F561">
        <v>1</v>
      </c>
      <c r="G561" t="s">
        <v>68</v>
      </c>
      <c r="H561" t="s">
        <v>73</v>
      </c>
    </row>
    <row r="562" spans="1:8" x14ac:dyDescent="0.3">
      <c r="A562" t="s">
        <v>34</v>
      </c>
      <c r="B562">
        <v>4</v>
      </c>
      <c r="C562" t="s">
        <v>32</v>
      </c>
      <c r="E562">
        <v>1996</v>
      </c>
      <c r="F562">
        <v>1</v>
      </c>
      <c r="G562" t="s">
        <v>68</v>
      </c>
      <c r="H562" t="s">
        <v>73</v>
      </c>
    </row>
    <row r="563" spans="1:8" x14ac:dyDescent="0.3">
      <c r="A563" t="s">
        <v>34</v>
      </c>
      <c r="B563">
        <v>4</v>
      </c>
      <c r="C563" t="s">
        <v>32</v>
      </c>
      <c r="E563">
        <v>1997</v>
      </c>
      <c r="F563">
        <v>1</v>
      </c>
      <c r="G563" t="s">
        <v>68</v>
      </c>
      <c r="H563" t="s">
        <v>73</v>
      </c>
    </row>
    <row r="564" spans="1:8" x14ac:dyDescent="0.3">
      <c r="A564" t="s">
        <v>34</v>
      </c>
      <c r="B564">
        <v>4</v>
      </c>
      <c r="C564" t="s">
        <v>32</v>
      </c>
      <c r="E564">
        <v>1998</v>
      </c>
      <c r="F564">
        <v>1</v>
      </c>
      <c r="G564" t="s">
        <v>68</v>
      </c>
      <c r="H564" t="s">
        <v>73</v>
      </c>
    </row>
    <row r="565" spans="1:8" x14ac:dyDescent="0.3">
      <c r="A565" t="s">
        <v>34</v>
      </c>
      <c r="B565">
        <v>4</v>
      </c>
      <c r="C565" t="s">
        <v>32</v>
      </c>
      <c r="E565">
        <v>1999</v>
      </c>
      <c r="F565">
        <v>1</v>
      </c>
      <c r="G565" t="s">
        <v>68</v>
      </c>
      <c r="H565" t="s">
        <v>73</v>
      </c>
    </row>
    <row r="566" spans="1:8" x14ac:dyDescent="0.3">
      <c r="A566" t="s">
        <v>34</v>
      </c>
      <c r="B566">
        <v>4</v>
      </c>
      <c r="C566" t="s">
        <v>32</v>
      </c>
      <c r="E566">
        <v>2000</v>
      </c>
      <c r="F566">
        <v>1</v>
      </c>
      <c r="G566" t="s">
        <v>68</v>
      </c>
      <c r="H566" t="s">
        <v>73</v>
      </c>
    </row>
    <row r="567" spans="1:8" x14ac:dyDescent="0.3">
      <c r="A567" t="s">
        <v>34</v>
      </c>
      <c r="B567">
        <v>4</v>
      </c>
      <c r="C567" t="s">
        <v>32</v>
      </c>
      <c r="E567">
        <v>2001</v>
      </c>
      <c r="F567">
        <v>1</v>
      </c>
      <c r="G567" t="s">
        <v>68</v>
      </c>
      <c r="H567" t="s">
        <v>73</v>
      </c>
    </row>
    <row r="568" spans="1:8" x14ac:dyDescent="0.3">
      <c r="A568" t="s">
        <v>34</v>
      </c>
      <c r="B568">
        <v>4</v>
      </c>
      <c r="C568" t="s">
        <v>32</v>
      </c>
      <c r="E568">
        <v>2002</v>
      </c>
      <c r="F568">
        <v>1</v>
      </c>
      <c r="G568" t="s">
        <v>68</v>
      </c>
      <c r="H568" t="s">
        <v>73</v>
      </c>
    </row>
    <row r="569" spans="1:8" x14ac:dyDescent="0.3">
      <c r="A569" t="s">
        <v>34</v>
      </c>
      <c r="B569">
        <v>4</v>
      </c>
      <c r="C569" t="s">
        <v>32</v>
      </c>
      <c r="E569">
        <v>2003</v>
      </c>
      <c r="F569">
        <v>1</v>
      </c>
      <c r="G569" t="s">
        <v>68</v>
      </c>
      <c r="H569" t="s">
        <v>73</v>
      </c>
    </row>
    <row r="570" spans="1:8" x14ac:dyDescent="0.3">
      <c r="A570" t="s">
        <v>34</v>
      </c>
      <c r="B570">
        <v>4</v>
      </c>
      <c r="C570" t="s">
        <v>32</v>
      </c>
      <c r="E570">
        <v>2004</v>
      </c>
      <c r="F570">
        <v>1</v>
      </c>
      <c r="G570" t="s">
        <v>68</v>
      </c>
      <c r="H570" t="s">
        <v>73</v>
      </c>
    </row>
    <row r="571" spans="1:8" x14ac:dyDescent="0.3">
      <c r="A571" t="s">
        <v>34</v>
      </c>
      <c r="B571">
        <v>4</v>
      </c>
      <c r="C571" t="s">
        <v>32</v>
      </c>
      <c r="D571">
        <v>0</v>
      </c>
      <c r="E571">
        <v>2005</v>
      </c>
      <c r="F571">
        <v>7</v>
      </c>
      <c r="G571" t="s">
        <v>68</v>
      </c>
      <c r="H571" t="s">
        <v>73</v>
      </c>
    </row>
    <row r="572" spans="1:8" x14ac:dyDescent="0.3">
      <c r="A572" t="s">
        <v>34</v>
      </c>
      <c r="B572">
        <v>4</v>
      </c>
      <c r="C572" t="s">
        <v>32</v>
      </c>
      <c r="D572">
        <v>0</v>
      </c>
      <c r="E572">
        <v>2006</v>
      </c>
      <c r="F572">
        <v>4</v>
      </c>
      <c r="G572" t="s">
        <v>68</v>
      </c>
      <c r="H572" t="s">
        <v>73</v>
      </c>
    </row>
    <row r="573" spans="1:8" x14ac:dyDescent="0.3">
      <c r="A573" t="s">
        <v>34</v>
      </c>
      <c r="B573">
        <v>4</v>
      </c>
      <c r="C573" t="s">
        <v>32</v>
      </c>
      <c r="D573">
        <v>0</v>
      </c>
      <c r="E573">
        <v>2006</v>
      </c>
      <c r="F573">
        <v>8</v>
      </c>
      <c r="G573" t="s">
        <v>68</v>
      </c>
      <c r="H573" t="s">
        <v>73</v>
      </c>
    </row>
    <row r="574" spans="1:8" x14ac:dyDescent="0.3">
      <c r="A574" t="s">
        <v>34</v>
      </c>
      <c r="B574">
        <v>5</v>
      </c>
      <c r="C574" t="s">
        <v>33</v>
      </c>
      <c r="D574">
        <v>3.6</v>
      </c>
      <c r="E574">
        <v>1978</v>
      </c>
      <c r="F574">
        <v>5</v>
      </c>
      <c r="G574" t="s">
        <v>68</v>
      </c>
      <c r="H574" t="s">
        <v>73</v>
      </c>
    </row>
    <row r="575" spans="1:8" x14ac:dyDescent="0.3">
      <c r="A575" t="s">
        <v>34</v>
      </c>
      <c r="B575">
        <v>5</v>
      </c>
      <c r="C575" t="s">
        <v>33</v>
      </c>
      <c r="D575">
        <v>11.6</v>
      </c>
      <c r="E575">
        <v>1978</v>
      </c>
      <c r="F575">
        <v>9</v>
      </c>
      <c r="G575" t="s">
        <v>68</v>
      </c>
      <c r="H575" t="s">
        <v>73</v>
      </c>
    </row>
    <row r="576" spans="1:8" x14ac:dyDescent="0.3">
      <c r="A576" t="s">
        <v>34</v>
      </c>
      <c r="B576">
        <v>5</v>
      </c>
      <c r="C576" t="s">
        <v>33</v>
      </c>
      <c r="E576">
        <v>1979</v>
      </c>
      <c r="F576">
        <v>1</v>
      </c>
      <c r="G576" t="s">
        <v>68</v>
      </c>
      <c r="H576" t="s">
        <v>73</v>
      </c>
    </row>
    <row r="577" spans="1:8" x14ac:dyDescent="0.3">
      <c r="A577" t="s">
        <v>34</v>
      </c>
      <c r="B577">
        <v>5</v>
      </c>
      <c r="C577" t="s">
        <v>33</v>
      </c>
      <c r="E577">
        <v>1980</v>
      </c>
      <c r="F577">
        <v>1</v>
      </c>
      <c r="G577" t="s">
        <v>68</v>
      </c>
      <c r="H577" t="s">
        <v>73</v>
      </c>
    </row>
    <row r="578" spans="1:8" x14ac:dyDescent="0.3">
      <c r="A578" t="s">
        <v>34</v>
      </c>
      <c r="B578">
        <v>5</v>
      </c>
      <c r="C578" t="s">
        <v>33</v>
      </c>
      <c r="E578">
        <v>1981</v>
      </c>
      <c r="F578">
        <v>1</v>
      </c>
      <c r="G578" t="s">
        <v>68</v>
      </c>
      <c r="H578" t="s">
        <v>73</v>
      </c>
    </row>
    <row r="579" spans="1:8" x14ac:dyDescent="0.3">
      <c r="A579" t="s">
        <v>34</v>
      </c>
      <c r="B579">
        <v>5</v>
      </c>
      <c r="C579" t="s">
        <v>33</v>
      </c>
      <c r="E579">
        <v>1982</v>
      </c>
      <c r="F579">
        <v>1</v>
      </c>
      <c r="G579" t="s">
        <v>68</v>
      </c>
      <c r="H579" t="s">
        <v>73</v>
      </c>
    </row>
    <row r="580" spans="1:8" x14ac:dyDescent="0.3">
      <c r="A580" t="s">
        <v>34</v>
      </c>
      <c r="B580">
        <v>5</v>
      </c>
      <c r="C580" t="s">
        <v>33</v>
      </c>
      <c r="E580">
        <v>1983</v>
      </c>
      <c r="F580">
        <v>1</v>
      </c>
      <c r="G580" t="s">
        <v>68</v>
      </c>
      <c r="H580" t="s">
        <v>73</v>
      </c>
    </row>
    <row r="581" spans="1:8" x14ac:dyDescent="0.3">
      <c r="A581" t="s">
        <v>34</v>
      </c>
      <c r="B581">
        <v>5</v>
      </c>
      <c r="C581" t="s">
        <v>33</v>
      </c>
      <c r="D581">
        <v>3.6</v>
      </c>
      <c r="E581">
        <v>1984</v>
      </c>
      <c r="F581">
        <v>5</v>
      </c>
      <c r="G581" t="s">
        <v>68</v>
      </c>
      <c r="H581" t="s">
        <v>73</v>
      </c>
    </row>
    <row r="582" spans="1:8" x14ac:dyDescent="0.3">
      <c r="A582" t="s">
        <v>34</v>
      </c>
      <c r="B582">
        <v>5</v>
      </c>
      <c r="C582" t="s">
        <v>33</v>
      </c>
      <c r="D582">
        <v>0</v>
      </c>
      <c r="E582">
        <v>1984</v>
      </c>
      <c r="F582">
        <v>9</v>
      </c>
      <c r="G582" t="s">
        <v>68</v>
      </c>
      <c r="H582" t="s">
        <v>73</v>
      </c>
    </row>
    <row r="583" spans="1:8" x14ac:dyDescent="0.3">
      <c r="A583" t="s">
        <v>34</v>
      </c>
      <c r="B583">
        <v>5</v>
      </c>
      <c r="C583" t="s">
        <v>33</v>
      </c>
      <c r="E583">
        <v>1985</v>
      </c>
      <c r="F583">
        <v>1</v>
      </c>
      <c r="G583" t="s">
        <v>68</v>
      </c>
      <c r="H583" t="s">
        <v>73</v>
      </c>
    </row>
    <row r="584" spans="1:8" x14ac:dyDescent="0.3">
      <c r="A584" t="s">
        <v>34</v>
      </c>
      <c r="B584">
        <v>5</v>
      </c>
      <c r="C584" t="s">
        <v>33</v>
      </c>
      <c r="E584">
        <v>1986</v>
      </c>
      <c r="F584">
        <v>1</v>
      </c>
      <c r="G584" t="s">
        <v>68</v>
      </c>
      <c r="H584" t="s">
        <v>73</v>
      </c>
    </row>
    <row r="585" spans="1:8" x14ac:dyDescent="0.3">
      <c r="A585" t="s">
        <v>34</v>
      </c>
      <c r="B585">
        <v>5</v>
      </c>
      <c r="C585" t="s">
        <v>33</v>
      </c>
      <c r="E585">
        <v>1987</v>
      </c>
      <c r="F585">
        <v>1</v>
      </c>
      <c r="G585" t="s">
        <v>68</v>
      </c>
      <c r="H585" t="s">
        <v>73</v>
      </c>
    </row>
    <row r="586" spans="1:8" x14ac:dyDescent="0.3">
      <c r="A586" t="s">
        <v>34</v>
      </c>
      <c r="B586">
        <v>5</v>
      </c>
      <c r="C586" t="s">
        <v>33</v>
      </c>
      <c r="E586">
        <v>1988</v>
      </c>
      <c r="F586">
        <v>1</v>
      </c>
      <c r="G586" t="s">
        <v>68</v>
      </c>
      <c r="H586" t="s">
        <v>73</v>
      </c>
    </row>
    <row r="587" spans="1:8" x14ac:dyDescent="0.3">
      <c r="A587" t="s">
        <v>34</v>
      </c>
      <c r="B587">
        <v>5</v>
      </c>
      <c r="C587" t="s">
        <v>33</v>
      </c>
      <c r="E587">
        <v>1989</v>
      </c>
      <c r="F587">
        <v>1</v>
      </c>
      <c r="G587" t="s">
        <v>68</v>
      </c>
      <c r="H587" t="s">
        <v>73</v>
      </c>
    </row>
    <row r="588" spans="1:8" x14ac:dyDescent="0.3">
      <c r="A588" t="s">
        <v>34</v>
      </c>
      <c r="B588">
        <v>5</v>
      </c>
      <c r="C588" t="s">
        <v>33</v>
      </c>
      <c r="E588">
        <v>1990</v>
      </c>
      <c r="F588">
        <v>1</v>
      </c>
      <c r="G588" t="s">
        <v>68</v>
      </c>
      <c r="H588" t="s">
        <v>73</v>
      </c>
    </row>
    <row r="589" spans="1:8" x14ac:dyDescent="0.3">
      <c r="A589" t="s">
        <v>34</v>
      </c>
      <c r="B589">
        <v>5</v>
      </c>
      <c r="C589" t="s">
        <v>33</v>
      </c>
      <c r="E589">
        <v>1991</v>
      </c>
      <c r="F589">
        <v>1</v>
      </c>
      <c r="G589" t="s">
        <v>68</v>
      </c>
      <c r="H589" t="s">
        <v>73</v>
      </c>
    </row>
    <row r="590" spans="1:8" x14ac:dyDescent="0.3">
      <c r="A590" t="s">
        <v>34</v>
      </c>
      <c r="B590">
        <v>5</v>
      </c>
      <c r="C590" t="s">
        <v>33</v>
      </c>
      <c r="E590">
        <v>1992</v>
      </c>
      <c r="F590">
        <v>1</v>
      </c>
      <c r="G590" t="s">
        <v>68</v>
      </c>
      <c r="H590" t="s">
        <v>73</v>
      </c>
    </row>
    <row r="591" spans="1:8" x14ac:dyDescent="0.3">
      <c r="A591" t="s">
        <v>34</v>
      </c>
      <c r="B591">
        <v>5</v>
      </c>
      <c r="C591" t="s">
        <v>33</v>
      </c>
      <c r="E591">
        <v>1993</v>
      </c>
      <c r="F591">
        <v>1</v>
      </c>
      <c r="G591" t="s">
        <v>68</v>
      </c>
      <c r="H591" t="s">
        <v>73</v>
      </c>
    </row>
    <row r="592" spans="1:8" x14ac:dyDescent="0.3">
      <c r="A592" t="s">
        <v>34</v>
      </c>
      <c r="B592">
        <v>5</v>
      </c>
      <c r="C592" t="s">
        <v>33</v>
      </c>
      <c r="E592">
        <v>1994</v>
      </c>
      <c r="F592">
        <v>1</v>
      </c>
      <c r="G592" t="s">
        <v>68</v>
      </c>
      <c r="H592" t="s">
        <v>73</v>
      </c>
    </row>
    <row r="593" spans="1:8" x14ac:dyDescent="0.3">
      <c r="A593" t="s">
        <v>34</v>
      </c>
      <c r="B593">
        <v>5</v>
      </c>
      <c r="C593" t="s">
        <v>33</v>
      </c>
      <c r="E593">
        <v>1995</v>
      </c>
      <c r="F593">
        <v>1</v>
      </c>
      <c r="G593" t="s">
        <v>68</v>
      </c>
      <c r="H593" t="s">
        <v>73</v>
      </c>
    </row>
    <row r="594" spans="1:8" x14ac:dyDescent="0.3">
      <c r="A594" t="s">
        <v>34</v>
      </c>
      <c r="B594">
        <v>5</v>
      </c>
      <c r="C594" t="s">
        <v>33</v>
      </c>
      <c r="E594">
        <v>1996</v>
      </c>
      <c r="F594">
        <v>1</v>
      </c>
      <c r="G594" t="s">
        <v>68</v>
      </c>
      <c r="H594" t="s">
        <v>73</v>
      </c>
    </row>
    <row r="595" spans="1:8" x14ac:dyDescent="0.3">
      <c r="A595" t="s">
        <v>34</v>
      </c>
      <c r="B595">
        <v>5</v>
      </c>
      <c r="C595" t="s">
        <v>33</v>
      </c>
      <c r="E595">
        <v>1997</v>
      </c>
      <c r="F595">
        <v>1</v>
      </c>
      <c r="G595" t="s">
        <v>68</v>
      </c>
      <c r="H595" t="s">
        <v>73</v>
      </c>
    </row>
    <row r="596" spans="1:8" x14ac:dyDescent="0.3">
      <c r="A596" t="s">
        <v>34</v>
      </c>
      <c r="B596">
        <v>5</v>
      </c>
      <c r="C596" t="s">
        <v>33</v>
      </c>
      <c r="E596">
        <v>1998</v>
      </c>
      <c r="F596">
        <v>1</v>
      </c>
      <c r="G596" t="s">
        <v>68</v>
      </c>
      <c r="H596" t="s">
        <v>73</v>
      </c>
    </row>
    <row r="597" spans="1:8" x14ac:dyDescent="0.3">
      <c r="A597" t="s">
        <v>34</v>
      </c>
      <c r="B597">
        <v>5</v>
      </c>
      <c r="C597" t="s">
        <v>33</v>
      </c>
      <c r="E597">
        <v>1999</v>
      </c>
      <c r="F597">
        <v>1</v>
      </c>
      <c r="G597" t="s">
        <v>68</v>
      </c>
      <c r="H597" t="s">
        <v>73</v>
      </c>
    </row>
    <row r="598" spans="1:8" x14ac:dyDescent="0.3">
      <c r="A598" t="s">
        <v>34</v>
      </c>
      <c r="B598">
        <v>5</v>
      </c>
      <c r="C598" t="s">
        <v>33</v>
      </c>
      <c r="E598">
        <v>2000</v>
      </c>
      <c r="F598">
        <v>1</v>
      </c>
      <c r="G598" t="s">
        <v>68</v>
      </c>
      <c r="H598" t="s">
        <v>73</v>
      </c>
    </row>
    <row r="599" spans="1:8" x14ac:dyDescent="0.3">
      <c r="A599" t="s">
        <v>34</v>
      </c>
      <c r="B599">
        <v>5</v>
      </c>
      <c r="C599" t="s">
        <v>33</v>
      </c>
      <c r="E599">
        <v>2001</v>
      </c>
      <c r="F599">
        <v>1</v>
      </c>
      <c r="G599" t="s">
        <v>68</v>
      </c>
      <c r="H599" t="s">
        <v>73</v>
      </c>
    </row>
    <row r="600" spans="1:8" x14ac:dyDescent="0.3">
      <c r="A600" t="s">
        <v>34</v>
      </c>
      <c r="B600">
        <v>5</v>
      </c>
      <c r="C600" t="s">
        <v>33</v>
      </c>
      <c r="E600">
        <v>2002</v>
      </c>
      <c r="F600">
        <v>1</v>
      </c>
      <c r="G600" t="s">
        <v>68</v>
      </c>
      <c r="H600" t="s">
        <v>73</v>
      </c>
    </row>
    <row r="601" spans="1:8" x14ac:dyDescent="0.3">
      <c r="A601" t="s">
        <v>34</v>
      </c>
      <c r="B601">
        <v>5</v>
      </c>
      <c r="C601" t="s">
        <v>33</v>
      </c>
      <c r="E601">
        <v>2003</v>
      </c>
      <c r="F601">
        <v>1</v>
      </c>
      <c r="G601" t="s">
        <v>68</v>
      </c>
      <c r="H601" t="s">
        <v>73</v>
      </c>
    </row>
    <row r="602" spans="1:8" x14ac:dyDescent="0.3">
      <c r="A602" t="s">
        <v>34</v>
      </c>
      <c r="B602">
        <v>5</v>
      </c>
      <c r="C602" t="s">
        <v>33</v>
      </c>
      <c r="E602">
        <v>2004</v>
      </c>
      <c r="F602">
        <v>1</v>
      </c>
      <c r="G602" t="s">
        <v>68</v>
      </c>
      <c r="H602" t="s">
        <v>73</v>
      </c>
    </row>
    <row r="603" spans="1:8" x14ac:dyDescent="0.3">
      <c r="A603" t="s">
        <v>34</v>
      </c>
      <c r="B603">
        <v>5</v>
      </c>
      <c r="C603" t="s">
        <v>33</v>
      </c>
      <c r="D603">
        <v>0</v>
      </c>
      <c r="E603">
        <v>2005</v>
      </c>
      <c r="F603">
        <v>8</v>
      </c>
      <c r="G603" t="s">
        <v>68</v>
      </c>
      <c r="H603" t="s">
        <v>73</v>
      </c>
    </row>
    <row r="604" spans="1:8" x14ac:dyDescent="0.3">
      <c r="A604" t="s">
        <v>34</v>
      </c>
      <c r="B604">
        <v>5</v>
      </c>
      <c r="C604" t="s">
        <v>33</v>
      </c>
      <c r="D604">
        <v>0</v>
      </c>
      <c r="E604">
        <v>2006</v>
      </c>
      <c r="F604">
        <v>3</v>
      </c>
      <c r="G604" t="s">
        <v>68</v>
      </c>
      <c r="H604" t="s">
        <v>73</v>
      </c>
    </row>
    <row r="605" spans="1:8" x14ac:dyDescent="0.3">
      <c r="A605" t="s">
        <v>34</v>
      </c>
      <c r="B605">
        <v>5</v>
      </c>
      <c r="C605" t="s">
        <v>33</v>
      </c>
      <c r="D605">
        <v>0</v>
      </c>
      <c r="E605">
        <v>2006</v>
      </c>
      <c r="F605">
        <v>7</v>
      </c>
      <c r="G605" t="s">
        <v>68</v>
      </c>
      <c r="H605" t="s">
        <v>73</v>
      </c>
    </row>
    <row r="606" spans="1:8" x14ac:dyDescent="0.3">
      <c r="A606" t="s">
        <v>34</v>
      </c>
      <c r="B606">
        <v>6</v>
      </c>
      <c r="C606" t="s">
        <v>35</v>
      </c>
      <c r="D606">
        <v>0</v>
      </c>
      <c r="E606">
        <v>1978</v>
      </c>
      <c r="F606">
        <v>5</v>
      </c>
      <c r="G606" t="s">
        <v>68</v>
      </c>
      <c r="H606" t="s">
        <v>73</v>
      </c>
    </row>
    <row r="607" spans="1:8" x14ac:dyDescent="0.3">
      <c r="A607" t="s">
        <v>34</v>
      </c>
      <c r="B607">
        <v>6</v>
      </c>
      <c r="C607" t="s">
        <v>35</v>
      </c>
      <c r="D607">
        <v>22.3</v>
      </c>
      <c r="E607">
        <v>1978</v>
      </c>
      <c r="F607">
        <v>8</v>
      </c>
      <c r="G607" t="s">
        <v>68</v>
      </c>
      <c r="H607" t="s">
        <v>73</v>
      </c>
    </row>
    <row r="608" spans="1:8" x14ac:dyDescent="0.3">
      <c r="A608" t="s">
        <v>34</v>
      </c>
      <c r="B608">
        <v>6</v>
      </c>
      <c r="C608" t="s">
        <v>35</v>
      </c>
      <c r="E608">
        <v>1979</v>
      </c>
      <c r="F608">
        <v>1</v>
      </c>
      <c r="G608" t="s">
        <v>68</v>
      </c>
      <c r="H608" t="s">
        <v>73</v>
      </c>
    </row>
    <row r="609" spans="1:8" x14ac:dyDescent="0.3">
      <c r="A609" t="s">
        <v>34</v>
      </c>
      <c r="B609">
        <v>6</v>
      </c>
      <c r="C609" t="s">
        <v>35</v>
      </c>
      <c r="E609">
        <v>1980</v>
      </c>
      <c r="F609">
        <v>1</v>
      </c>
      <c r="G609" t="s">
        <v>68</v>
      </c>
      <c r="H609" t="s">
        <v>73</v>
      </c>
    </row>
    <row r="610" spans="1:8" x14ac:dyDescent="0.3">
      <c r="A610" t="s">
        <v>34</v>
      </c>
      <c r="B610">
        <v>6</v>
      </c>
      <c r="C610" t="s">
        <v>35</v>
      </c>
      <c r="E610">
        <v>1981</v>
      </c>
      <c r="F610">
        <v>1</v>
      </c>
      <c r="G610" t="s">
        <v>68</v>
      </c>
      <c r="H610" t="s">
        <v>73</v>
      </c>
    </row>
    <row r="611" spans="1:8" x14ac:dyDescent="0.3">
      <c r="A611" t="s">
        <v>34</v>
      </c>
      <c r="B611">
        <v>6</v>
      </c>
      <c r="C611" t="s">
        <v>35</v>
      </c>
      <c r="E611">
        <v>1982</v>
      </c>
      <c r="F611">
        <v>1</v>
      </c>
      <c r="G611" t="s">
        <v>68</v>
      </c>
      <c r="H611" t="s">
        <v>73</v>
      </c>
    </row>
    <row r="612" spans="1:8" x14ac:dyDescent="0.3">
      <c r="A612" t="s">
        <v>34</v>
      </c>
      <c r="B612">
        <v>6</v>
      </c>
      <c r="C612" t="s">
        <v>35</v>
      </c>
      <c r="E612">
        <v>1983</v>
      </c>
      <c r="F612">
        <v>1</v>
      </c>
      <c r="G612" t="s">
        <v>68</v>
      </c>
      <c r="H612" t="s">
        <v>73</v>
      </c>
    </row>
    <row r="613" spans="1:8" x14ac:dyDescent="0.3">
      <c r="A613" t="s">
        <v>34</v>
      </c>
      <c r="B613">
        <v>6</v>
      </c>
      <c r="C613" t="s">
        <v>35</v>
      </c>
      <c r="D613">
        <v>0</v>
      </c>
      <c r="E613">
        <v>1984</v>
      </c>
      <c r="F613">
        <v>6</v>
      </c>
      <c r="G613" t="s">
        <v>68</v>
      </c>
      <c r="H613" t="s">
        <v>73</v>
      </c>
    </row>
    <row r="614" spans="1:8" x14ac:dyDescent="0.3">
      <c r="A614" t="s">
        <v>34</v>
      </c>
      <c r="B614">
        <v>6</v>
      </c>
      <c r="C614" t="s">
        <v>35</v>
      </c>
      <c r="D614">
        <v>0</v>
      </c>
      <c r="E614">
        <v>1984</v>
      </c>
      <c r="F614">
        <v>9</v>
      </c>
      <c r="G614" t="s">
        <v>68</v>
      </c>
      <c r="H614" t="s">
        <v>73</v>
      </c>
    </row>
    <row r="615" spans="1:8" x14ac:dyDescent="0.3">
      <c r="A615" t="s">
        <v>34</v>
      </c>
      <c r="B615">
        <v>6</v>
      </c>
      <c r="C615" t="s">
        <v>35</v>
      </c>
      <c r="E615">
        <v>1985</v>
      </c>
      <c r="F615">
        <v>1</v>
      </c>
      <c r="G615" t="s">
        <v>68</v>
      </c>
      <c r="H615" t="s">
        <v>73</v>
      </c>
    </row>
    <row r="616" spans="1:8" x14ac:dyDescent="0.3">
      <c r="A616" t="s">
        <v>34</v>
      </c>
      <c r="B616">
        <v>6</v>
      </c>
      <c r="C616" t="s">
        <v>35</v>
      </c>
      <c r="E616">
        <v>1986</v>
      </c>
      <c r="F616">
        <v>1</v>
      </c>
      <c r="G616" t="s">
        <v>68</v>
      </c>
      <c r="H616" t="s">
        <v>73</v>
      </c>
    </row>
    <row r="617" spans="1:8" x14ac:dyDescent="0.3">
      <c r="A617" t="s">
        <v>34</v>
      </c>
      <c r="B617">
        <v>6</v>
      </c>
      <c r="C617" t="s">
        <v>35</v>
      </c>
      <c r="E617">
        <v>1987</v>
      </c>
      <c r="F617">
        <v>1</v>
      </c>
      <c r="G617" t="s">
        <v>68</v>
      </c>
      <c r="H617" t="s">
        <v>73</v>
      </c>
    </row>
    <row r="618" spans="1:8" x14ac:dyDescent="0.3">
      <c r="A618" t="s">
        <v>34</v>
      </c>
      <c r="B618">
        <v>6</v>
      </c>
      <c r="C618" t="s">
        <v>35</v>
      </c>
      <c r="E618">
        <v>1988</v>
      </c>
      <c r="F618">
        <v>1</v>
      </c>
      <c r="G618" t="s">
        <v>68</v>
      </c>
      <c r="H618" t="s">
        <v>73</v>
      </c>
    </row>
    <row r="619" spans="1:8" x14ac:dyDescent="0.3">
      <c r="A619" t="s">
        <v>34</v>
      </c>
      <c r="B619">
        <v>6</v>
      </c>
      <c r="C619" t="s">
        <v>35</v>
      </c>
      <c r="E619">
        <v>1989</v>
      </c>
      <c r="F619">
        <v>1</v>
      </c>
      <c r="G619" t="s">
        <v>68</v>
      </c>
      <c r="H619" t="s">
        <v>73</v>
      </c>
    </row>
    <row r="620" spans="1:8" x14ac:dyDescent="0.3">
      <c r="A620" t="s">
        <v>34</v>
      </c>
      <c r="B620">
        <v>6</v>
      </c>
      <c r="C620" t="s">
        <v>35</v>
      </c>
      <c r="E620">
        <v>1990</v>
      </c>
      <c r="F620">
        <v>1</v>
      </c>
      <c r="G620" t="s">
        <v>68</v>
      </c>
      <c r="H620" t="s">
        <v>73</v>
      </c>
    </row>
    <row r="621" spans="1:8" x14ac:dyDescent="0.3">
      <c r="A621" t="s">
        <v>34</v>
      </c>
      <c r="B621">
        <v>6</v>
      </c>
      <c r="C621" t="s">
        <v>35</v>
      </c>
      <c r="E621">
        <v>1991</v>
      </c>
      <c r="F621">
        <v>1</v>
      </c>
      <c r="G621" t="s">
        <v>68</v>
      </c>
      <c r="H621" t="s">
        <v>73</v>
      </c>
    </row>
    <row r="622" spans="1:8" x14ac:dyDescent="0.3">
      <c r="A622" t="s">
        <v>34</v>
      </c>
      <c r="B622">
        <v>6</v>
      </c>
      <c r="C622" t="s">
        <v>35</v>
      </c>
      <c r="E622">
        <v>1992</v>
      </c>
      <c r="F622">
        <v>1</v>
      </c>
      <c r="G622" t="s">
        <v>68</v>
      </c>
      <c r="H622" t="s">
        <v>73</v>
      </c>
    </row>
    <row r="623" spans="1:8" x14ac:dyDescent="0.3">
      <c r="A623" t="s">
        <v>34</v>
      </c>
      <c r="B623">
        <v>6</v>
      </c>
      <c r="C623" t="s">
        <v>35</v>
      </c>
      <c r="E623">
        <v>1993</v>
      </c>
      <c r="F623">
        <v>1</v>
      </c>
      <c r="G623" t="s">
        <v>68</v>
      </c>
      <c r="H623" t="s">
        <v>73</v>
      </c>
    </row>
    <row r="624" spans="1:8" x14ac:dyDescent="0.3">
      <c r="A624" t="s">
        <v>34</v>
      </c>
      <c r="B624">
        <v>6</v>
      </c>
      <c r="C624" t="s">
        <v>35</v>
      </c>
      <c r="E624">
        <v>1994</v>
      </c>
      <c r="F624">
        <v>1</v>
      </c>
      <c r="G624" t="s">
        <v>68</v>
      </c>
      <c r="H624" t="s">
        <v>73</v>
      </c>
    </row>
    <row r="625" spans="1:8" x14ac:dyDescent="0.3">
      <c r="A625" t="s">
        <v>34</v>
      </c>
      <c r="B625">
        <v>6</v>
      </c>
      <c r="C625" t="s">
        <v>35</v>
      </c>
      <c r="E625">
        <v>1995</v>
      </c>
      <c r="F625">
        <v>1</v>
      </c>
      <c r="G625" t="s">
        <v>68</v>
      </c>
      <c r="H625" t="s">
        <v>73</v>
      </c>
    </row>
    <row r="626" spans="1:8" x14ac:dyDescent="0.3">
      <c r="A626" t="s">
        <v>34</v>
      </c>
      <c r="B626">
        <v>6</v>
      </c>
      <c r="C626" t="s">
        <v>35</v>
      </c>
      <c r="E626">
        <v>1996</v>
      </c>
      <c r="F626">
        <v>1</v>
      </c>
      <c r="G626" t="s">
        <v>68</v>
      </c>
      <c r="H626" t="s">
        <v>73</v>
      </c>
    </row>
    <row r="627" spans="1:8" x14ac:dyDescent="0.3">
      <c r="A627" t="s">
        <v>34</v>
      </c>
      <c r="B627">
        <v>6</v>
      </c>
      <c r="C627" t="s">
        <v>35</v>
      </c>
      <c r="E627">
        <v>1997</v>
      </c>
      <c r="F627">
        <v>1</v>
      </c>
      <c r="G627" t="s">
        <v>68</v>
      </c>
      <c r="H627" t="s">
        <v>73</v>
      </c>
    </row>
    <row r="628" spans="1:8" x14ac:dyDescent="0.3">
      <c r="A628" t="s">
        <v>34</v>
      </c>
      <c r="B628">
        <v>6</v>
      </c>
      <c r="C628" t="s">
        <v>35</v>
      </c>
      <c r="E628">
        <v>1998</v>
      </c>
      <c r="F628">
        <v>1</v>
      </c>
      <c r="G628" t="s">
        <v>68</v>
      </c>
      <c r="H628" t="s">
        <v>73</v>
      </c>
    </row>
    <row r="629" spans="1:8" x14ac:dyDescent="0.3">
      <c r="A629" t="s">
        <v>34</v>
      </c>
      <c r="B629">
        <v>6</v>
      </c>
      <c r="C629" t="s">
        <v>35</v>
      </c>
      <c r="E629">
        <v>1999</v>
      </c>
      <c r="F629">
        <v>1</v>
      </c>
      <c r="G629" t="s">
        <v>68</v>
      </c>
      <c r="H629" t="s">
        <v>73</v>
      </c>
    </row>
    <row r="630" spans="1:8" x14ac:dyDescent="0.3">
      <c r="A630" t="s">
        <v>34</v>
      </c>
      <c r="B630">
        <v>6</v>
      </c>
      <c r="C630" t="s">
        <v>35</v>
      </c>
      <c r="E630">
        <v>2000</v>
      </c>
      <c r="F630">
        <v>1</v>
      </c>
      <c r="G630" t="s">
        <v>68</v>
      </c>
      <c r="H630" t="s">
        <v>73</v>
      </c>
    </row>
    <row r="631" spans="1:8" x14ac:dyDescent="0.3">
      <c r="A631" t="s">
        <v>34</v>
      </c>
      <c r="B631">
        <v>6</v>
      </c>
      <c r="C631" t="s">
        <v>35</v>
      </c>
      <c r="E631">
        <v>2001</v>
      </c>
      <c r="F631">
        <v>1</v>
      </c>
      <c r="G631" t="s">
        <v>68</v>
      </c>
      <c r="H631" t="s">
        <v>73</v>
      </c>
    </row>
    <row r="632" spans="1:8" x14ac:dyDescent="0.3">
      <c r="A632" t="s">
        <v>34</v>
      </c>
      <c r="B632">
        <v>6</v>
      </c>
      <c r="C632" t="s">
        <v>35</v>
      </c>
      <c r="E632">
        <v>2002</v>
      </c>
      <c r="F632">
        <v>1</v>
      </c>
      <c r="G632" t="s">
        <v>68</v>
      </c>
      <c r="H632" t="s">
        <v>73</v>
      </c>
    </row>
    <row r="633" spans="1:8" x14ac:dyDescent="0.3">
      <c r="A633" t="s">
        <v>34</v>
      </c>
      <c r="B633">
        <v>6</v>
      </c>
      <c r="C633" t="s">
        <v>35</v>
      </c>
      <c r="E633">
        <v>2003</v>
      </c>
      <c r="F633">
        <v>1</v>
      </c>
      <c r="G633" t="s">
        <v>68</v>
      </c>
      <c r="H633" t="s">
        <v>73</v>
      </c>
    </row>
    <row r="634" spans="1:8" x14ac:dyDescent="0.3">
      <c r="A634" t="s">
        <v>34</v>
      </c>
      <c r="B634">
        <v>6</v>
      </c>
      <c r="C634" t="s">
        <v>35</v>
      </c>
      <c r="E634">
        <v>2004</v>
      </c>
      <c r="F634">
        <v>1</v>
      </c>
      <c r="G634" t="s">
        <v>68</v>
      </c>
      <c r="H634" t="s">
        <v>73</v>
      </c>
    </row>
    <row r="635" spans="1:8" x14ac:dyDescent="0.3">
      <c r="A635" t="s">
        <v>34</v>
      </c>
      <c r="B635">
        <v>6</v>
      </c>
      <c r="C635" t="s">
        <v>35</v>
      </c>
      <c r="D635">
        <v>0</v>
      </c>
      <c r="E635">
        <v>2005</v>
      </c>
      <c r="F635">
        <v>8</v>
      </c>
      <c r="G635" t="s">
        <v>68</v>
      </c>
      <c r="H635" t="s">
        <v>73</v>
      </c>
    </row>
    <row r="636" spans="1:8" x14ac:dyDescent="0.3">
      <c r="A636" t="s">
        <v>34</v>
      </c>
      <c r="B636">
        <v>6</v>
      </c>
      <c r="C636" t="s">
        <v>35</v>
      </c>
      <c r="D636">
        <v>0</v>
      </c>
      <c r="E636">
        <v>2006</v>
      </c>
      <c r="F636">
        <v>3</v>
      </c>
      <c r="G636" t="s">
        <v>68</v>
      </c>
      <c r="H636" t="s">
        <v>73</v>
      </c>
    </row>
    <row r="637" spans="1:8" x14ac:dyDescent="0.3">
      <c r="A637" t="s">
        <v>34</v>
      </c>
      <c r="B637">
        <v>6</v>
      </c>
      <c r="C637" t="s">
        <v>35</v>
      </c>
      <c r="D637">
        <v>0</v>
      </c>
      <c r="E637">
        <v>2006</v>
      </c>
      <c r="F637">
        <v>7</v>
      </c>
      <c r="G637" t="s">
        <v>68</v>
      </c>
      <c r="H637" t="s">
        <v>73</v>
      </c>
    </row>
    <row r="638" spans="1:8" x14ac:dyDescent="0.3">
      <c r="A638" t="s">
        <v>34</v>
      </c>
      <c r="B638">
        <v>7</v>
      </c>
      <c r="C638" t="s">
        <v>36</v>
      </c>
      <c r="D638">
        <v>71.2</v>
      </c>
      <c r="E638">
        <v>1978</v>
      </c>
      <c r="F638">
        <v>5</v>
      </c>
      <c r="G638" t="s">
        <v>68</v>
      </c>
      <c r="H638" t="s">
        <v>73</v>
      </c>
    </row>
    <row r="639" spans="1:8" x14ac:dyDescent="0.3">
      <c r="A639" t="s">
        <v>34</v>
      </c>
      <c r="B639">
        <v>7</v>
      </c>
      <c r="C639" t="s">
        <v>36</v>
      </c>
      <c r="D639">
        <v>10</v>
      </c>
      <c r="E639">
        <v>1978</v>
      </c>
      <c r="F639">
        <v>9</v>
      </c>
      <c r="G639" t="s">
        <v>68</v>
      </c>
      <c r="H639" t="s">
        <v>73</v>
      </c>
    </row>
    <row r="640" spans="1:8" x14ac:dyDescent="0.3">
      <c r="A640" t="s">
        <v>34</v>
      </c>
      <c r="B640">
        <v>7</v>
      </c>
      <c r="C640" t="s">
        <v>36</v>
      </c>
      <c r="E640">
        <v>1979</v>
      </c>
      <c r="F640">
        <v>1</v>
      </c>
      <c r="G640" t="s">
        <v>68</v>
      </c>
      <c r="H640" t="s">
        <v>73</v>
      </c>
    </row>
    <row r="641" spans="1:8" x14ac:dyDescent="0.3">
      <c r="A641" t="s">
        <v>34</v>
      </c>
      <c r="B641">
        <v>7</v>
      </c>
      <c r="C641" t="s">
        <v>36</v>
      </c>
      <c r="E641">
        <v>1980</v>
      </c>
      <c r="F641">
        <v>1</v>
      </c>
      <c r="G641" t="s">
        <v>68</v>
      </c>
      <c r="H641" t="s">
        <v>73</v>
      </c>
    </row>
    <row r="642" spans="1:8" x14ac:dyDescent="0.3">
      <c r="A642" t="s">
        <v>34</v>
      </c>
      <c r="B642">
        <v>7</v>
      </c>
      <c r="C642" t="s">
        <v>36</v>
      </c>
      <c r="E642">
        <v>1981</v>
      </c>
      <c r="F642">
        <v>1</v>
      </c>
      <c r="G642" t="s">
        <v>68</v>
      </c>
      <c r="H642" t="s">
        <v>73</v>
      </c>
    </row>
    <row r="643" spans="1:8" x14ac:dyDescent="0.3">
      <c r="A643" t="s">
        <v>34</v>
      </c>
      <c r="B643">
        <v>7</v>
      </c>
      <c r="C643" t="s">
        <v>36</v>
      </c>
      <c r="E643">
        <v>1982</v>
      </c>
      <c r="F643">
        <v>1</v>
      </c>
      <c r="G643" t="s">
        <v>68</v>
      </c>
      <c r="H643" t="s">
        <v>73</v>
      </c>
    </row>
    <row r="644" spans="1:8" x14ac:dyDescent="0.3">
      <c r="A644" t="s">
        <v>34</v>
      </c>
      <c r="B644">
        <v>7</v>
      </c>
      <c r="C644" t="s">
        <v>36</v>
      </c>
      <c r="E644">
        <v>1983</v>
      </c>
      <c r="F644">
        <v>1</v>
      </c>
      <c r="G644" t="s">
        <v>68</v>
      </c>
      <c r="H644" t="s">
        <v>73</v>
      </c>
    </row>
    <row r="645" spans="1:8" x14ac:dyDescent="0.3">
      <c r="A645" t="s">
        <v>34</v>
      </c>
      <c r="B645">
        <v>7</v>
      </c>
      <c r="C645" t="s">
        <v>36</v>
      </c>
      <c r="E645">
        <v>1984</v>
      </c>
      <c r="F645">
        <v>1</v>
      </c>
      <c r="G645" t="s">
        <v>68</v>
      </c>
      <c r="H645" t="s">
        <v>73</v>
      </c>
    </row>
    <row r="646" spans="1:8" x14ac:dyDescent="0.3">
      <c r="A646" t="s">
        <v>34</v>
      </c>
      <c r="B646">
        <v>7</v>
      </c>
      <c r="C646" t="s">
        <v>36</v>
      </c>
      <c r="D646">
        <v>0</v>
      </c>
      <c r="E646">
        <v>1985</v>
      </c>
      <c r="F646">
        <v>6</v>
      </c>
      <c r="G646" t="s">
        <v>68</v>
      </c>
      <c r="H646" t="s">
        <v>73</v>
      </c>
    </row>
    <row r="647" spans="1:8" x14ac:dyDescent="0.3">
      <c r="A647" t="s">
        <v>34</v>
      </c>
      <c r="B647">
        <v>7</v>
      </c>
      <c r="C647" t="s">
        <v>36</v>
      </c>
      <c r="D647">
        <v>0.4</v>
      </c>
      <c r="E647">
        <v>1985</v>
      </c>
      <c r="F647">
        <v>10</v>
      </c>
      <c r="G647" t="s">
        <v>68</v>
      </c>
      <c r="H647" t="s">
        <v>73</v>
      </c>
    </row>
    <row r="648" spans="1:8" x14ac:dyDescent="0.3">
      <c r="A648" t="s">
        <v>34</v>
      </c>
      <c r="B648">
        <v>7</v>
      </c>
      <c r="C648" t="s">
        <v>36</v>
      </c>
      <c r="E648">
        <v>1986</v>
      </c>
      <c r="F648">
        <v>1</v>
      </c>
      <c r="G648" t="s">
        <v>68</v>
      </c>
      <c r="H648" t="s">
        <v>73</v>
      </c>
    </row>
    <row r="649" spans="1:8" x14ac:dyDescent="0.3">
      <c r="A649" t="s">
        <v>34</v>
      </c>
      <c r="B649">
        <v>7</v>
      </c>
      <c r="C649" t="s">
        <v>36</v>
      </c>
      <c r="E649">
        <v>1987</v>
      </c>
      <c r="F649">
        <v>1</v>
      </c>
      <c r="G649" t="s">
        <v>68</v>
      </c>
      <c r="H649" t="s">
        <v>73</v>
      </c>
    </row>
    <row r="650" spans="1:8" x14ac:dyDescent="0.3">
      <c r="A650" t="s">
        <v>34</v>
      </c>
      <c r="B650">
        <v>7</v>
      </c>
      <c r="C650" t="s">
        <v>36</v>
      </c>
      <c r="E650">
        <v>1988</v>
      </c>
      <c r="F650">
        <v>1</v>
      </c>
      <c r="G650" t="s">
        <v>68</v>
      </c>
      <c r="H650" t="s">
        <v>73</v>
      </c>
    </row>
    <row r="651" spans="1:8" x14ac:dyDescent="0.3">
      <c r="A651" t="s">
        <v>34</v>
      </c>
      <c r="B651">
        <v>7</v>
      </c>
      <c r="C651" t="s">
        <v>36</v>
      </c>
      <c r="E651">
        <v>1989</v>
      </c>
      <c r="F651">
        <v>1</v>
      </c>
      <c r="G651" t="s">
        <v>68</v>
      </c>
      <c r="H651" t="s">
        <v>73</v>
      </c>
    </row>
    <row r="652" spans="1:8" x14ac:dyDescent="0.3">
      <c r="A652" t="s">
        <v>34</v>
      </c>
      <c r="B652">
        <v>7</v>
      </c>
      <c r="C652" t="s">
        <v>36</v>
      </c>
      <c r="E652">
        <v>1990</v>
      </c>
      <c r="F652">
        <v>1</v>
      </c>
      <c r="G652" t="s">
        <v>68</v>
      </c>
      <c r="H652" t="s">
        <v>73</v>
      </c>
    </row>
    <row r="653" spans="1:8" x14ac:dyDescent="0.3">
      <c r="A653" t="s">
        <v>34</v>
      </c>
      <c r="B653">
        <v>7</v>
      </c>
      <c r="C653" t="s">
        <v>36</v>
      </c>
      <c r="E653">
        <v>1991</v>
      </c>
      <c r="F653">
        <v>1</v>
      </c>
      <c r="G653" t="s">
        <v>68</v>
      </c>
      <c r="H653" t="s">
        <v>73</v>
      </c>
    </row>
    <row r="654" spans="1:8" x14ac:dyDescent="0.3">
      <c r="A654" t="s">
        <v>34</v>
      </c>
      <c r="B654">
        <v>7</v>
      </c>
      <c r="C654" t="s">
        <v>36</v>
      </c>
      <c r="E654">
        <v>1992</v>
      </c>
      <c r="F654">
        <v>1</v>
      </c>
      <c r="G654" t="s">
        <v>68</v>
      </c>
      <c r="H654" t="s">
        <v>73</v>
      </c>
    </row>
    <row r="655" spans="1:8" x14ac:dyDescent="0.3">
      <c r="A655" t="s">
        <v>34</v>
      </c>
      <c r="B655">
        <v>7</v>
      </c>
      <c r="C655" t="s">
        <v>36</v>
      </c>
      <c r="E655">
        <v>1993</v>
      </c>
      <c r="F655">
        <v>1</v>
      </c>
      <c r="G655" t="s">
        <v>68</v>
      </c>
      <c r="H655" t="s">
        <v>73</v>
      </c>
    </row>
    <row r="656" spans="1:8" x14ac:dyDescent="0.3">
      <c r="A656" t="s">
        <v>34</v>
      </c>
      <c r="B656">
        <v>7</v>
      </c>
      <c r="C656" t="s">
        <v>36</v>
      </c>
      <c r="E656">
        <v>1994</v>
      </c>
      <c r="F656">
        <v>1</v>
      </c>
      <c r="G656" t="s">
        <v>68</v>
      </c>
      <c r="H656" t="s">
        <v>73</v>
      </c>
    </row>
    <row r="657" spans="1:8" x14ac:dyDescent="0.3">
      <c r="A657" t="s">
        <v>34</v>
      </c>
      <c r="B657">
        <v>7</v>
      </c>
      <c r="C657" t="s">
        <v>36</v>
      </c>
      <c r="E657">
        <v>1995</v>
      </c>
      <c r="F657">
        <v>1</v>
      </c>
      <c r="G657" t="s">
        <v>68</v>
      </c>
      <c r="H657" t="s">
        <v>73</v>
      </c>
    </row>
    <row r="658" spans="1:8" x14ac:dyDescent="0.3">
      <c r="A658" t="s">
        <v>34</v>
      </c>
      <c r="B658">
        <v>7</v>
      </c>
      <c r="C658" t="s">
        <v>36</v>
      </c>
      <c r="E658">
        <v>1996</v>
      </c>
      <c r="F658">
        <v>1</v>
      </c>
      <c r="G658" t="s">
        <v>68</v>
      </c>
      <c r="H658" t="s">
        <v>73</v>
      </c>
    </row>
    <row r="659" spans="1:8" x14ac:dyDescent="0.3">
      <c r="A659" t="s">
        <v>34</v>
      </c>
      <c r="B659">
        <v>7</v>
      </c>
      <c r="C659" t="s">
        <v>36</v>
      </c>
      <c r="E659">
        <v>1997</v>
      </c>
      <c r="F659">
        <v>1</v>
      </c>
      <c r="G659" t="s">
        <v>68</v>
      </c>
      <c r="H659" t="s">
        <v>73</v>
      </c>
    </row>
    <row r="660" spans="1:8" x14ac:dyDescent="0.3">
      <c r="A660" t="s">
        <v>34</v>
      </c>
      <c r="B660">
        <v>7</v>
      </c>
      <c r="C660" t="s">
        <v>36</v>
      </c>
      <c r="E660">
        <v>1998</v>
      </c>
      <c r="F660">
        <v>1</v>
      </c>
      <c r="G660" t="s">
        <v>68</v>
      </c>
      <c r="H660" t="s">
        <v>73</v>
      </c>
    </row>
    <row r="661" spans="1:8" x14ac:dyDescent="0.3">
      <c r="A661" t="s">
        <v>34</v>
      </c>
      <c r="B661">
        <v>7</v>
      </c>
      <c r="C661" t="s">
        <v>36</v>
      </c>
      <c r="E661">
        <v>1999</v>
      </c>
      <c r="F661">
        <v>1</v>
      </c>
      <c r="G661" t="s">
        <v>68</v>
      </c>
      <c r="H661" t="s">
        <v>73</v>
      </c>
    </row>
    <row r="662" spans="1:8" x14ac:dyDescent="0.3">
      <c r="A662" t="s">
        <v>34</v>
      </c>
      <c r="B662">
        <v>7</v>
      </c>
      <c r="C662" t="s">
        <v>36</v>
      </c>
      <c r="E662">
        <v>2000</v>
      </c>
      <c r="F662">
        <v>1</v>
      </c>
      <c r="G662" t="s">
        <v>68</v>
      </c>
      <c r="H662" t="s">
        <v>73</v>
      </c>
    </row>
    <row r="663" spans="1:8" x14ac:dyDescent="0.3">
      <c r="A663" t="s">
        <v>34</v>
      </c>
      <c r="B663">
        <v>7</v>
      </c>
      <c r="C663" t="s">
        <v>36</v>
      </c>
      <c r="E663">
        <v>2001</v>
      </c>
      <c r="F663">
        <v>1</v>
      </c>
      <c r="G663" t="s">
        <v>68</v>
      </c>
      <c r="H663" t="s">
        <v>73</v>
      </c>
    </row>
    <row r="664" spans="1:8" x14ac:dyDescent="0.3">
      <c r="A664" t="s">
        <v>34</v>
      </c>
      <c r="B664">
        <v>7</v>
      </c>
      <c r="C664" t="s">
        <v>36</v>
      </c>
      <c r="E664">
        <v>2002</v>
      </c>
      <c r="F664">
        <v>1</v>
      </c>
      <c r="G664" t="s">
        <v>68</v>
      </c>
      <c r="H664" t="s">
        <v>73</v>
      </c>
    </row>
    <row r="665" spans="1:8" x14ac:dyDescent="0.3">
      <c r="A665" t="s">
        <v>34</v>
      </c>
      <c r="B665">
        <v>7</v>
      </c>
      <c r="C665" t="s">
        <v>36</v>
      </c>
      <c r="E665">
        <v>2003</v>
      </c>
      <c r="F665">
        <v>1</v>
      </c>
      <c r="G665" t="s">
        <v>68</v>
      </c>
      <c r="H665" t="s">
        <v>73</v>
      </c>
    </row>
    <row r="666" spans="1:8" x14ac:dyDescent="0.3">
      <c r="A666" t="s">
        <v>34</v>
      </c>
      <c r="B666">
        <v>7</v>
      </c>
      <c r="C666" t="s">
        <v>36</v>
      </c>
      <c r="E666">
        <v>2004</v>
      </c>
      <c r="F666">
        <v>1</v>
      </c>
      <c r="G666" t="s">
        <v>68</v>
      </c>
      <c r="H666" t="s">
        <v>73</v>
      </c>
    </row>
    <row r="667" spans="1:8" x14ac:dyDescent="0.3">
      <c r="A667" t="s">
        <v>34</v>
      </c>
      <c r="B667">
        <v>7</v>
      </c>
      <c r="C667" t="s">
        <v>36</v>
      </c>
      <c r="D667">
        <v>0</v>
      </c>
      <c r="E667">
        <v>2005</v>
      </c>
      <c r="F667">
        <v>8</v>
      </c>
      <c r="G667" t="s">
        <v>68</v>
      </c>
      <c r="H667" t="s">
        <v>73</v>
      </c>
    </row>
    <row r="668" spans="1:8" x14ac:dyDescent="0.3">
      <c r="A668" t="s">
        <v>34</v>
      </c>
      <c r="B668">
        <v>7</v>
      </c>
      <c r="C668" t="s">
        <v>36</v>
      </c>
      <c r="D668">
        <v>0</v>
      </c>
      <c r="E668">
        <v>2006</v>
      </c>
      <c r="F668">
        <v>2</v>
      </c>
      <c r="G668" t="s">
        <v>68</v>
      </c>
      <c r="H668" t="s">
        <v>73</v>
      </c>
    </row>
    <row r="669" spans="1:8" x14ac:dyDescent="0.3">
      <c r="A669" t="s">
        <v>34</v>
      </c>
      <c r="B669">
        <v>7</v>
      </c>
      <c r="C669" t="s">
        <v>36</v>
      </c>
      <c r="D669">
        <v>0</v>
      </c>
      <c r="E669">
        <v>2006</v>
      </c>
      <c r="F669">
        <v>7</v>
      </c>
      <c r="G669" t="s">
        <v>68</v>
      </c>
      <c r="H669" t="s">
        <v>73</v>
      </c>
    </row>
    <row r="670" spans="1:8" x14ac:dyDescent="0.3">
      <c r="A670" t="s">
        <v>34</v>
      </c>
      <c r="B670">
        <v>8</v>
      </c>
      <c r="C670" t="s">
        <v>37</v>
      </c>
      <c r="D670">
        <v>322.7</v>
      </c>
      <c r="E670">
        <v>1978</v>
      </c>
      <c r="F670">
        <v>6</v>
      </c>
      <c r="G670" t="s">
        <v>68</v>
      </c>
      <c r="H670" t="s">
        <v>73</v>
      </c>
    </row>
    <row r="671" spans="1:8" x14ac:dyDescent="0.3">
      <c r="A671" t="s">
        <v>34</v>
      </c>
      <c r="B671">
        <v>8</v>
      </c>
      <c r="C671" t="s">
        <v>37</v>
      </c>
      <c r="D671">
        <v>10.7</v>
      </c>
      <c r="E671">
        <v>1978</v>
      </c>
      <c r="F671">
        <v>9</v>
      </c>
      <c r="G671" t="s">
        <v>68</v>
      </c>
      <c r="H671" t="s">
        <v>73</v>
      </c>
    </row>
    <row r="672" spans="1:8" x14ac:dyDescent="0.3">
      <c r="A672" t="s">
        <v>34</v>
      </c>
      <c r="B672">
        <v>8</v>
      </c>
      <c r="C672" t="s">
        <v>37</v>
      </c>
      <c r="E672">
        <v>1979</v>
      </c>
      <c r="F672">
        <v>1</v>
      </c>
      <c r="G672" t="s">
        <v>68</v>
      </c>
      <c r="H672" t="s">
        <v>73</v>
      </c>
    </row>
    <row r="673" spans="1:8" x14ac:dyDescent="0.3">
      <c r="A673" t="s">
        <v>34</v>
      </c>
      <c r="B673">
        <v>8</v>
      </c>
      <c r="C673" t="s">
        <v>37</v>
      </c>
      <c r="E673">
        <v>1980</v>
      </c>
      <c r="F673">
        <v>1</v>
      </c>
      <c r="G673" t="s">
        <v>68</v>
      </c>
      <c r="H673" t="s">
        <v>73</v>
      </c>
    </row>
    <row r="674" spans="1:8" x14ac:dyDescent="0.3">
      <c r="A674" t="s">
        <v>34</v>
      </c>
      <c r="B674">
        <v>8</v>
      </c>
      <c r="C674" t="s">
        <v>37</v>
      </c>
      <c r="E674">
        <v>1981</v>
      </c>
      <c r="F674">
        <v>1</v>
      </c>
      <c r="G674" t="s">
        <v>68</v>
      </c>
      <c r="H674" t="s">
        <v>73</v>
      </c>
    </row>
    <row r="675" spans="1:8" x14ac:dyDescent="0.3">
      <c r="A675" t="s">
        <v>34</v>
      </c>
      <c r="B675">
        <v>8</v>
      </c>
      <c r="C675" t="s">
        <v>37</v>
      </c>
      <c r="E675">
        <v>1982</v>
      </c>
      <c r="F675">
        <v>1</v>
      </c>
      <c r="G675" t="s">
        <v>68</v>
      </c>
      <c r="H675" t="s">
        <v>73</v>
      </c>
    </row>
    <row r="676" spans="1:8" x14ac:dyDescent="0.3">
      <c r="A676" t="s">
        <v>34</v>
      </c>
      <c r="B676">
        <v>8</v>
      </c>
      <c r="C676" t="s">
        <v>37</v>
      </c>
      <c r="E676">
        <v>1983</v>
      </c>
      <c r="F676">
        <v>1</v>
      </c>
      <c r="G676" t="s">
        <v>68</v>
      </c>
      <c r="H676" t="s">
        <v>73</v>
      </c>
    </row>
    <row r="677" spans="1:8" x14ac:dyDescent="0.3">
      <c r="A677" t="s">
        <v>34</v>
      </c>
      <c r="B677">
        <v>8</v>
      </c>
      <c r="C677" t="s">
        <v>37</v>
      </c>
      <c r="E677">
        <v>1984</v>
      </c>
      <c r="F677">
        <v>1</v>
      </c>
      <c r="G677" t="s">
        <v>68</v>
      </c>
      <c r="H677" t="s">
        <v>73</v>
      </c>
    </row>
    <row r="678" spans="1:8" x14ac:dyDescent="0.3">
      <c r="A678" t="s">
        <v>34</v>
      </c>
      <c r="B678">
        <v>8</v>
      </c>
      <c r="C678" t="s">
        <v>37</v>
      </c>
      <c r="D678">
        <v>0</v>
      </c>
      <c r="E678">
        <v>1985</v>
      </c>
      <c r="F678">
        <v>6</v>
      </c>
      <c r="G678" t="s">
        <v>68</v>
      </c>
      <c r="H678" t="s">
        <v>73</v>
      </c>
    </row>
    <row r="679" spans="1:8" x14ac:dyDescent="0.3">
      <c r="A679" t="s">
        <v>34</v>
      </c>
      <c r="B679">
        <v>8</v>
      </c>
      <c r="C679" t="s">
        <v>37</v>
      </c>
      <c r="D679">
        <v>0</v>
      </c>
      <c r="E679">
        <v>1985</v>
      </c>
      <c r="F679">
        <v>9</v>
      </c>
      <c r="G679" t="s">
        <v>68</v>
      </c>
      <c r="H679" t="s">
        <v>73</v>
      </c>
    </row>
    <row r="680" spans="1:8" x14ac:dyDescent="0.3">
      <c r="A680" t="s">
        <v>34</v>
      </c>
      <c r="B680">
        <v>8</v>
      </c>
      <c r="C680" t="s">
        <v>37</v>
      </c>
      <c r="E680">
        <v>1986</v>
      </c>
      <c r="F680">
        <v>1</v>
      </c>
      <c r="G680" t="s">
        <v>68</v>
      </c>
      <c r="H680" t="s">
        <v>73</v>
      </c>
    </row>
    <row r="681" spans="1:8" x14ac:dyDescent="0.3">
      <c r="A681" t="s">
        <v>34</v>
      </c>
      <c r="B681">
        <v>8</v>
      </c>
      <c r="C681" t="s">
        <v>37</v>
      </c>
      <c r="E681">
        <v>1987</v>
      </c>
      <c r="F681">
        <v>1</v>
      </c>
      <c r="G681" t="s">
        <v>68</v>
      </c>
      <c r="H681" t="s">
        <v>73</v>
      </c>
    </row>
    <row r="682" spans="1:8" x14ac:dyDescent="0.3">
      <c r="A682" t="s">
        <v>34</v>
      </c>
      <c r="B682">
        <v>8</v>
      </c>
      <c r="C682" t="s">
        <v>37</v>
      </c>
      <c r="E682">
        <v>1988</v>
      </c>
      <c r="F682">
        <v>1</v>
      </c>
      <c r="G682" t="s">
        <v>68</v>
      </c>
      <c r="H682" t="s">
        <v>73</v>
      </c>
    </row>
    <row r="683" spans="1:8" x14ac:dyDescent="0.3">
      <c r="A683" t="s">
        <v>34</v>
      </c>
      <c r="B683">
        <v>8</v>
      </c>
      <c r="C683" t="s">
        <v>37</v>
      </c>
      <c r="E683">
        <v>1989</v>
      </c>
      <c r="F683">
        <v>1</v>
      </c>
      <c r="G683" t="s">
        <v>68</v>
      </c>
      <c r="H683" t="s">
        <v>73</v>
      </c>
    </row>
    <row r="684" spans="1:8" x14ac:dyDescent="0.3">
      <c r="A684" t="s">
        <v>34</v>
      </c>
      <c r="B684">
        <v>8</v>
      </c>
      <c r="C684" t="s">
        <v>37</v>
      </c>
      <c r="E684">
        <v>1990</v>
      </c>
      <c r="F684">
        <v>1</v>
      </c>
      <c r="G684" t="s">
        <v>68</v>
      </c>
      <c r="H684" t="s">
        <v>73</v>
      </c>
    </row>
    <row r="685" spans="1:8" x14ac:dyDescent="0.3">
      <c r="A685" t="s">
        <v>34</v>
      </c>
      <c r="B685">
        <v>8</v>
      </c>
      <c r="C685" t="s">
        <v>37</v>
      </c>
      <c r="E685">
        <v>1991</v>
      </c>
      <c r="F685">
        <v>1</v>
      </c>
      <c r="G685" t="s">
        <v>68</v>
      </c>
      <c r="H685" t="s">
        <v>73</v>
      </c>
    </row>
    <row r="686" spans="1:8" x14ac:dyDescent="0.3">
      <c r="A686" t="s">
        <v>34</v>
      </c>
      <c r="B686">
        <v>8</v>
      </c>
      <c r="C686" t="s">
        <v>37</v>
      </c>
      <c r="E686">
        <v>1992</v>
      </c>
      <c r="F686">
        <v>1</v>
      </c>
      <c r="G686" t="s">
        <v>68</v>
      </c>
      <c r="H686" t="s">
        <v>73</v>
      </c>
    </row>
    <row r="687" spans="1:8" x14ac:dyDescent="0.3">
      <c r="A687" t="s">
        <v>34</v>
      </c>
      <c r="B687">
        <v>8</v>
      </c>
      <c r="C687" t="s">
        <v>37</v>
      </c>
      <c r="E687">
        <v>1993</v>
      </c>
      <c r="F687">
        <v>1</v>
      </c>
      <c r="G687" t="s">
        <v>68</v>
      </c>
      <c r="H687" t="s">
        <v>73</v>
      </c>
    </row>
    <row r="688" spans="1:8" x14ac:dyDescent="0.3">
      <c r="A688" t="s">
        <v>34</v>
      </c>
      <c r="B688">
        <v>8</v>
      </c>
      <c r="C688" t="s">
        <v>37</v>
      </c>
      <c r="E688">
        <v>1994</v>
      </c>
      <c r="F688">
        <v>1</v>
      </c>
      <c r="G688" t="s">
        <v>68</v>
      </c>
      <c r="H688" t="s">
        <v>73</v>
      </c>
    </row>
    <row r="689" spans="1:8" x14ac:dyDescent="0.3">
      <c r="A689" t="s">
        <v>34</v>
      </c>
      <c r="B689">
        <v>8</v>
      </c>
      <c r="C689" t="s">
        <v>37</v>
      </c>
      <c r="E689">
        <v>1995</v>
      </c>
      <c r="F689">
        <v>1</v>
      </c>
      <c r="G689" t="s">
        <v>68</v>
      </c>
      <c r="H689" t="s">
        <v>73</v>
      </c>
    </row>
    <row r="690" spans="1:8" x14ac:dyDescent="0.3">
      <c r="A690" t="s">
        <v>34</v>
      </c>
      <c r="B690">
        <v>8</v>
      </c>
      <c r="C690" t="s">
        <v>37</v>
      </c>
      <c r="E690">
        <v>1996</v>
      </c>
      <c r="F690">
        <v>1</v>
      </c>
      <c r="G690" t="s">
        <v>68</v>
      </c>
      <c r="H690" t="s">
        <v>73</v>
      </c>
    </row>
    <row r="691" spans="1:8" x14ac:dyDescent="0.3">
      <c r="A691" t="s">
        <v>34</v>
      </c>
      <c r="B691">
        <v>8</v>
      </c>
      <c r="C691" t="s">
        <v>37</v>
      </c>
      <c r="E691">
        <v>1997</v>
      </c>
      <c r="F691">
        <v>1</v>
      </c>
      <c r="G691" t="s">
        <v>68</v>
      </c>
      <c r="H691" t="s">
        <v>73</v>
      </c>
    </row>
    <row r="692" spans="1:8" x14ac:dyDescent="0.3">
      <c r="A692" t="s">
        <v>34</v>
      </c>
      <c r="B692">
        <v>8</v>
      </c>
      <c r="C692" t="s">
        <v>37</v>
      </c>
      <c r="E692">
        <v>1998</v>
      </c>
      <c r="F692">
        <v>1</v>
      </c>
      <c r="G692" t="s">
        <v>68</v>
      </c>
      <c r="H692" t="s">
        <v>73</v>
      </c>
    </row>
    <row r="693" spans="1:8" x14ac:dyDescent="0.3">
      <c r="A693" t="s">
        <v>34</v>
      </c>
      <c r="B693">
        <v>8</v>
      </c>
      <c r="C693" t="s">
        <v>37</v>
      </c>
      <c r="E693">
        <v>1999</v>
      </c>
      <c r="F693">
        <v>1</v>
      </c>
      <c r="G693" t="s">
        <v>68</v>
      </c>
      <c r="H693" t="s">
        <v>73</v>
      </c>
    </row>
    <row r="694" spans="1:8" x14ac:dyDescent="0.3">
      <c r="A694" t="s">
        <v>34</v>
      </c>
      <c r="B694">
        <v>8</v>
      </c>
      <c r="C694" t="s">
        <v>37</v>
      </c>
      <c r="E694">
        <v>2000</v>
      </c>
      <c r="F694">
        <v>1</v>
      </c>
      <c r="G694" t="s">
        <v>68</v>
      </c>
      <c r="H694" t="s">
        <v>73</v>
      </c>
    </row>
    <row r="695" spans="1:8" x14ac:dyDescent="0.3">
      <c r="A695" t="s">
        <v>34</v>
      </c>
      <c r="B695">
        <v>8</v>
      </c>
      <c r="C695" t="s">
        <v>37</v>
      </c>
      <c r="E695">
        <v>2001</v>
      </c>
      <c r="F695">
        <v>1</v>
      </c>
      <c r="G695" t="s">
        <v>68</v>
      </c>
      <c r="H695" t="s">
        <v>73</v>
      </c>
    </row>
    <row r="696" spans="1:8" x14ac:dyDescent="0.3">
      <c r="A696" t="s">
        <v>34</v>
      </c>
      <c r="B696">
        <v>8</v>
      </c>
      <c r="C696" t="s">
        <v>37</v>
      </c>
      <c r="E696">
        <v>2002</v>
      </c>
      <c r="F696">
        <v>1</v>
      </c>
      <c r="G696" t="s">
        <v>68</v>
      </c>
      <c r="H696" t="s">
        <v>73</v>
      </c>
    </row>
    <row r="697" spans="1:8" x14ac:dyDescent="0.3">
      <c r="A697" t="s">
        <v>34</v>
      </c>
      <c r="B697">
        <v>8</v>
      </c>
      <c r="C697" t="s">
        <v>37</v>
      </c>
      <c r="E697">
        <v>2003</v>
      </c>
      <c r="F697">
        <v>1</v>
      </c>
      <c r="G697" t="s">
        <v>68</v>
      </c>
      <c r="H697" t="s">
        <v>73</v>
      </c>
    </row>
    <row r="698" spans="1:8" x14ac:dyDescent="0.3">
      <c r="A698" t="s">
        <v>34</v>
      </c>
      <c r="B698">
        <v>8</v>
      </c>
      <c r="C698" t="s">
        <v>37</v>
      </c>
      <c r="E698">
        <v>2004</v>
      </c>
      <c r="F698">
        <v>1</v>
      </c>
      <c r="G698" t="s">
        <v>68</v>
      </c>
      <c r="H698" t="s">
        <v>73</v>
      </c>
    </row>
    <row r="699" spans="1:8" x14ac:dyDescent="0.3">
      <c r="A699" t="s">
        <v>34</v>
      </c>
      <c r="B699">
        <v>8</v>
      </c>
      <c r="C699" t="s">
        <v>37</v>
      </c>
      <c r="D699">
        <v>0</v>
      </c>
      <c r="E699">
        <v>2005</v>
      </c>
      <c r="F699">
        <v>8</v>
      </c>
      <c r="G699" t="s">
        <v>68</v>
      </c>
      <c r="H699" t="s">
        <v>73</v>
      </c>
    </row>
    <row r="700" spans="1:8" x14ac:dyDescent="0.3">
      <c r="A700" t="s">
        <v>34</v>
      </c>
      <c r="B700">
        <v>8</v>
      </c>
      <c r="C700" t="s">
        <v>37</v>
      </c>
      <c r="D700">
        <v>0</v>
      </c>
      <c r="E700">
        <v>2006</v>
      </c>
      <c r="F700">
        <v>2</v>
      </c>
      <c r="G700" t="s">
        <v>68</v>
      </c>
      <c r="H700" t="s">
        <v>73</v>
      </c>
    </row>
    <row r="701" spans="1:8" x14ac:dyDescent="0.3">
      <c r="A701" t="s">
        <v>34</v>
      </c>
      <c r="B701">
        <v>8</v>
      </c>
      <c r="C701" t="s">
        <v>37</v>
      </c>
      <c r="D701">
        <v>0</v>
      </c>
      <c r="E701">
        <v>2006</v>
      </c>
      <c r="F701">
        <v>7</v>
      </c>
      <c r="G701" t="s">
        <v>68</v>
      </c>
      <c r="H701" t="s">
        <v>73</v>
      </c>
    </row>
    <row r="702" spans="1:8" x14ac:dyDescent="0.3">
      <c r="A702" t="s">
        <v>34</v>
      </c>
      <c r="B702">
        <v>9</v>
      </c>
      <c r="C702" t="s">
        <v>38</v>
      </c>
      <c r="D702">
        <v>261.10000000000002</v>
      </c>
      <c r="E702">
        <v>1978</v>
      </c>
      <c r="F702">
        <v>6</v>
      </c>
      <c r="G702" t="s">
        <v>68</v>
      </c>
      <c r="H702" t="s">
        <v>73</v>
      </c>
    </row>
    <row r="703" spans="1:8" x14ac:dyDescent="0.3">
      <c r="A703" t="s">
        <v>34</v>
      </c>
      <c r="B703">
        <v>9</v>
      </c>
      <c r="C703" t="s">
        <v>38</v>
      </c>
      <c r="D703">
        <v>69.5</v>
      </c>
      <c r="E703">
        <v>1978</v>
      </c>
      <c r="F703">
        <v>9</v>
      </c>
      <c r="G703" t="s">
        <v>68</v>
      </c>
      <c r="H703" t="s">
        <v>73</v>
      </c>
    </row>
    <row r="704" spans="1:8" x14ac:dyDescent="0.3">
      <c r="A704" t="s">
        <v>34</v>
      </c>
      <c r="B704">
        <v>9</v>
      </c>
      <c r="C704" t="s">
        <v>38</v>
      </c>
      <c r="E704">
        <v>1979</v>
      </c>
      <c r="F704">
        <v>1</v>
      </c>
      <c r="G704" t="s">
        <v>68</v>
      </c>
      <c r="H704" t="s">
        <v>73</v>
      </c>
    </row>
    <row r="705" spans="1:8" x14ac:dyDescent="0.3">
      <c r="A705" t="s">
        <v>34</v>
      </c>
      <c r="B705">
        <v>9</v>
      </c>
      <c r="C705" t="s">
        <v>38</v>
      </c>
      <c r="E705">
        <v>1980</v>
      </c>
      <c r="F705">
        <v>1</v>
      </c>
      <c r="G705" t="s">
        <v>68</v>
      </c>
      <c r="H705" t="s">
        <v>73</v>
      </c>
    </row>
    <row r="706" spans="1:8" x14ac:dyDescent="0.3">
      <c r="A706" t="s">
        <v>34</v>
      </c>
      <c r="B706">
        <v>9</v>
      </c>
      <c r="C706" t="s">
        <v>38</v>
      </c>
      <c r="E706">
        <v>1981</v>
      </c>
      <c r="F706">
        <v>1</v>
      </c>
      <c r="G706" t="s">
        <v>68</v>
      </c>
      <c r="H706" t="s">
        <v>73</v>
      </c>
    </row>
    <row r="707" spans="1:8" x14ac:dyDescent="0.3">
      <c r="A707" t="s">
        <v>34</v>
      </c>
      <c r="B707">
        <v>9</v>
      </c>
      <c r="C707" t="s">
        <v>38</v>
      </c>
      <c r="E707">
        <v>1982</v>
      </c>
      <c r="F707">
        <v>1</v>
      </c>
      <c r="G707" t="s">
        <v>68</v>
      </c>
      <c r="H707" t="s">
        <v>73</v>
      </c>
    </row>
    <row r="708" spans="1:8" x14ac:dyDescent="0.3">
      <c r="A708" t="s">
        <v>34</v>
      </c>
      <c r="B708">
        <v>9</v>
      </c>
      <c r="C708" t="s">
        <v>38</v>
      </c>
      <c r="E708">
        <v>1983</v>
      </c>
      <c r="F708">
        <v>1</v>
      </c>
      <c r="G708" t="s">
        <v>68</v>
      </c>
      <c r="H708" t="s">
        <v>73</v>
      </c>
    </row>
    <row r="709" spans="1:8" x14ac:dyDescent="0.3">
      <c r="A709" t="s">
        <v>34</v>
      </c>
      <c r="B709">
        <v>9</v>
      </c>
      <c r="C709" t="s">
        <v>38</v>
      </c>
      <c r="D709">
        <v>0</v>
      </c>
      <c r="E709">
        <v>1984</v>
      </c>
      <c r="F709">
        <v>6</v>
      </c>
      <c r="G709" t="s">
        <v>68</v>
      </c>
      <c r="H709" t="s">
        <v>73</v>
      </c>
    </row>
    <row r="710" spans="1:8" x14ac:dyDescent="0.3">
      <c r="A710" t="s">
        <v>34</v>
      </c>
      <c r="B710">
        <v>9</v>
      </c>
      <c r="C710" t="s">
        <v>38</v>
      </c>
      <c r="D710">
        <v>0</v>
      </c>
      <c r="E710">
        <v>1984</v>
      </c>
      <c r="F710">
        <v>9</v>
      </c>
      <c r="G710" t="s">
        <v>68</v>
      </c>
      <c r="H710" t="s">
        <v>73</v>
      </c>
    </row>
    <row r="711" spans="1:8" x14ac:dyDescent="0.3">
      <c r="A711" t="s">
        <v>34</v>
      </c>
      <c r="B711">
        <v>9</v>
      </c>
      <c r="C711" t="s">
        <v>38</v>
      </c>
      <c r="E711">
        <v>1985</v>
      </c>
      <c r="F711">
        <v>1</v>
      </c>
      <c r="G711" t="s">
        <v>68</v>
      </c>
      <c r="H711" t="s">
        <v>73</v>
      </c>
    </row>
    <row r="712" spans="1:8" x14ac:dyDescent="0.3">
      <c r="A712" t="s">
        <v>34</v>
      </c>
      <c r="B712">
        <v>9</v>
      </c>
      <c r="C712" t="s">
        <v>38</v>
      </c>
      <c r="E712">
        <v>1986</v>
      </c>
      <c r="F712">
        <v>1</v>
      </c>
      <c r="G712" t="s">
        <v>68</v>
      </c>
      <c r="H712" t="s">
        <v>73</v>
      </c>
    </row>
    <row r="713" spans="1:8" x14ac:dyDescent="0.3">
      <c r="A713" t="s">
        <v>34</v>
      </c>
      <c r="B713">
        <v>9</v>
      </c>
      <c r="C713" t="s">
        <v>38</v>
      </c>
      <c r="E713">
        <v>1987</v>
      </c>
      <c r="F713">
        <v>1</v>
      </c>
      <c r="G713" t="s">
        <v>68</v>
      </c>
      <c r="H713" t="s">
        <v>73</v>
      </c>
    </row>
    <row r="714" spans="1:8" x14ac:dyDescent="0.3">
      <c r="A714" t="s">
        <v>34</v>
      </c>
      <c r="B714">
        <v>9</v>
      </c>
      <c r="C714" t="s">
        <v>38</v>
      </c>
      <c r="E714">
        <v>1988</v>
      </c>
      <c r="F714">
        <v>1</v>
      </c>
      <c r="G714" t="s">
        <v>68</v>
      </c>
      <c r="H714" t="s">
        <v>73</v>
      </c>
    </row>
    <row r="715" spans="1:8" x14ac:dyDescent="0.3">
      <c r="A715" t="s">
        <v>34</v>
      </c>
      <c r="B715">
        <v>9</v>
      </c>
      <c r="C715" t="s">
        <v>38</v>
      </c>
      <c r="E715">
        <v>1989</v>
      </c>
      <c r="F715">
        <v>1</v>
      </c>
      <c r="G715" t="s">
        <v>68</v>
      </c>
      <c r="H715" t="s">
        <v>73</v>
      </c>
    </row>
    <row r="716" spans="1:8" x14ac:dyDescent="0.3">
      <c r="A716" t="s">
        <v>34</v>
      </c>
      <c r="B716">
        <v>9</v>
      </c>
      <c r="C716" t="s">
        <v>38</v>
      </c>
      <c r="E716">
        <v>1990</v>
      </c>
      <c r="F716">
        <v>1</v>
      </c>
      <c r="G716" t="s">
        <v>68</v>
      </c>
      <c r="H716" t="s">
        <v>73</v>
      </c>
    </row>
    <row r="717" spans="1:8" x14ac:dyDescent="0.3">
      <c r="A717" t="s">
        <v>34</v>
      </c>
      <c r="B717">
        <v>9</v>
      </c>
      <c r="C717" t="s">
        <v>38</v>
      </c>
      <c r="E717">
        <v>1991</v>
      </c>
      <c r="F717">
        <v>1</v>
      </c>
      <c r="G717" t="s">
        <v>68</v>
      </c>
      <c r="H717" t="s">
        <v>73</v>
      </c>
    </row>
    <row r="718" spans="1:8" x14ac:dyDescent="0.3">
      <c r="A718" t="s">
        <v>34</v>
      </c>
      <c r="B718">
        <v>9</v>
      </c>
      <c r="C718" t="s">
        <v>38</v>
      </c>
      <c r="E718">
        <v>1992</v>
      </c>
      <c r="F718">
        <v>1</v>
      </c>
      <c r="G718" t="s">
        <v>68</v>
      </c>
      <c r="H718" t="s">
        <v>73</v>
      </c>
    </row>
    <row r="719" spans="1:8" x14ac:dyDescent="0.3">
      <c r="A719" t="s">
        <v>34</v>
      </c>
      <c r="B719">
        <v>9</v>
      </c>
      <c r="C719" t="s">
        <v>38</v>
      </c>
      <c r="E719">
        <v>1993</v>
      </c>
      <c r="F719">
        <v>1</v>
      </c>
      <c r="G719" t="s">
        <v>68</v>
      </c>
      <c r="H719" t="s">
        <v>73</v>
      </c>
    </row>
    <row r="720" spans="1:8" x14ac:dyDescent="0.3">
      <c r="A720" t="s">
        <v>34</v>
      </c>
      <c r="B720">
        <v>9</v>
      </c>
      <c r="C720" t="s">
        <v>38</v>
      </c>
      <c r="E720">
        <v>1994</v>
      </c>
      <c r="F720">
        <v>1</v>
      </c>
      <c r="G720" t="s">
        <v>68</v>
      </c>
      <c r="H720" t="s">
        <v>73</v>
      </c>
    </row>
    <row r="721" spans="1:8" x14ac:dyDescent="0.3">
      <c r="A721" t="s">
        <v>34</v>
      </c>
      <c r="B721">
        <v>9</v>
      </c>
      <c r="C721" t="s">
        <v>38</v>
      </c>
      <c r="E721">
        <v>1995</v>
      </c>
      <c r="F721">
        <v>1</v>
      </c>
      <c r="G721" t="s">
        <v>68</v>
      </c>
      <c r="H721" t="s">
        <v>73</v>
      </c>
    </row>
    <row r="722" spans="1:8" x14ac:dyDescent="0.3">
      <c r="A722" t="s">
        <v>34</v>
      </c>
      <c r="B722">
        <v>9</v>
      </c>
      <c r="C722" t="s">
        <v>38</v>
      </c>
      <c r="E722">
        <v>1996</v>
      </c>
      <c r="F722">
        <v>1</v>
      </c>
      <c r="G722" t="s">
        <v>68</v>
      </c>
      <c r="H722" t="s">
        <v>73</v>
      </c>
    </row>
    <row r="723" spans="1:8" x14ac:dyDescent="0.3">
      <c r="A723" t="s">
        <v>34</v>
      </c>
      <c r="B723">
        <v>9</v>
      </c>
      <c r="C723" t="s">
        <v>38</v>
      </c>
      <c r="E723">
        <v>1997</v>
      </c>
      <c r="F723">
        <v>1</v>
      </c>
      <c r="G723" t="s">
        <v>68</v>
      </c>
      <c r="H723" t="s">
        <v>73</v>
      </c>
    </row>
    <row r="724" spans="1:8" x14ac:dyDescent="0.3">
      <c r="A724" t="s">
        <v>34</v>
      </c>
      <c r="B724">
        <v>9</v>
      </c>
      <c r="C724" t="s">
        <v>38</v>
      </c>
      <c r="E724">
        <v>1998</v>
      </c>
      <c r="F724">
        <v>1</v>
      </c>
      <c r="G724" t="s">
        <v>68</v>
      </c>
      <c r="H724" t="s">
        <v>73</v>
      </c>
    </row>
    <row r="725" spans="1:8" x14ac:dyDescent="0.3">
      <c r="A725" t="s">
        <v>34</v>
      </c>
      <c r="B725">
        <v>9</v>
      </c>
      <c r="C725" t="s">
        <v>38</v>
      </c>
      <c r="E725">
        <v>1999</v>
      </c>
      <c r="F725">
        <v>1</v>
      </c>
      <c r="G725" t="s">
        <v>68</v>
      </c>
      <c r="H725" t="s">
        <v>73</v>
      </c>
    </row>
    <row r="726" spans="1:8" x14ac:dyDescent="0.3">
      <c r="A726" t="s">
        <v>34</v>
      </c>
      <c r="B726">
        <v>9</v>
      </c>
      <c r="C726" t="s">
        <v>38</v>
      </c>
      <c r="E726">
        <v>2000</v>
      </c>
      <c r="F726">
        <v>1</v>
      </c>
      <c r="G726" t="s">
        <v>68</v>
      </c>
      <c r="H726" t="s">
        <v>73</v>
      </c>
    </row>
    <row r="727" spans="1:8" x14ac:dyDescent="0.3">
      <c r="A727" t="s">
        <v>34</v>
      </c>
      <c r="B727">
        <v>9</v>
      </c>
      <c r="C727" t="s">
        <v>38</v>
      </c>
      <c r="E727">
        <v>2001</v>
      </c>
      <c r="F727">
        <v>1</v>
      </c>
      <c r="G727" t="s">
        <v>68</v>
      </c>
      <c r="H727" t="s">
        <v>73</v>
      </c>
    </row>
    <row r="728" spans="1:8" x14ac:dyDescent="0.3">
      <c r="A728" t="s">
        <v>34</v>
      </c>
      <c r="B728">
        <v>9</v>
      </c>
      <c r="C728" t="s">
        <v>38</v>
      </c>
      <c r="E728">
        <v>2002</v>
      </c>
      <c r="F728">
        <v>1</v>
      </c>
      <c r="G728" t="s">
        <v>68</v>
      </c>
      <c r="H728" t="s">
        <v>73</v>
      </c>
    </row>
    <row r="729" spans="1:8" x14ac:dyDescent="0.3">
      <c r="A729" t="s">
        <v>34</v>
      </c>
      <c r="B729">
        <v>9</v>
      </c>
      <c r="C729" t="s">
        <v>38</v>
      </c>
      <c r="E729">
        <v>2003</v>
      </c>
      <c r="F729">
        <v>1</v>
      </c>
      <c r="G729" t="s">
        <v>68</v>
      </c>
      <c r="H729" t="s">
        <v>73</v>
      </c>
    </row>
    <row r="730" spans="1:8" x14ac:dyDescent="0.3">
      <c r="A730" t="s">
        <v>34</v>
      </c>
      <c r="B730">
        <v>9</v>
      </c>
      <c r="C730" t="s">
        <v>38</v>
      </c>
      <c r="E730">
        <v>2004</v>
      </c>
      <c r="F730">
        <v>1</v>
      </c>
      <c r="G730" t="s">
        <v>68</v>
      </c>
      <c r="H730" t="s">
        <v>73</v>
      </c>
    </row>
    <row r="731" spans="1:8" x14ac:dyDescent="0.3">
      <c r="A731" t="s">
        <v>34</v>
      </c>
      <c r="B731">
        <v>9</v>
      </c>
      <c r="C731" t="s">
        <v>38</v>
      </c>
      <c r="D731">
        <v>0</v>
      </c>
      <c r="E731">
        <v>2005</v>
      </c>
      <c r="F731">
        <v>9</v>
      </c>
      <c r="G731" t="s">
        <v>68</v>
      </c>
      <c r="H731" t="s">
        <v>73</v>
      </c>
    </row>
    <row r="732" spans="1:8" x14ac:dyDescent="0.3">
      <c r="A732" t="s">
        <v>34</v>
      </c>
      <c r="B732">
        <v>9</v>
      </c>
      <c r="C732" t="s">
        <v>38</v>
      </c>
      <c r="D732">
        <v>0</v>
      </c>
      <c r="E732">
        <v>2006</v>
      </c>
      <c r="F732">
        <v>2</v>
      </c>
      <c r="G732" t="s">
        <v>68</v>
      </c>
      <c r="H732" t="s">
        <v>73</v>
      </c>
    </row>
    <row r="733" spans="1:8" x14ac:dyDescent="0.3">
      <c r="A733" t="s">
        <v>34</v>
      </c>
      <c r="B733">
        <v>9</v>
      </c>
      <c r="C733" t="s">
        <v>38</v>
      </c>
      <c r="D733">
        <v>0</v>
      </c>
      <c r="E733">
        <v>2006</v>
      </c>
      <c r="F733">
        <v>8</v>
      </c>
      <c r="G733" t="s">
        <v>68</v>
      </c>
      <c r="H733" t="s">
        <v>73</v>
      </c>
    </row>
    <row r="734" spans="1:8" x14ac:dyDescent="0.3">
      <c r="A734" t="s">
        <v>34</v>
      </c>
      <c r="B734">
        <v>10</v>
      </c>
      <c r="C734" t="s">
        <v>39</v>
      </c>
      <c r="D734">
        <v>88.7</v>
      </c>
      <c r="E734">
        <v>1978</v>
      </c>
      <c r="F734">
        <v>5</v>
      </c>
      <c r="G734" t="s">
        <v>68</v>
      </c>
      <c r="H734" t="s">
        <v>73</v>
      </c>
    </row>
    <row r="735" spans="1:8" x14ac:dyDescent="0.3">
      <c r="A735" t="s">
        <v>34</v>
      </c>
      <c r="B735">
        <v>10</v>
      </c>
      <c r="C735" t="s">
        <v>39</v>
      </c>
      <c r="D735">
        <v>27</v>
      </c>
      <c r="E735">
        <v>1978</v>
      </c>
      <c r="F735">
        <v>9</v>
      </c>
      <c r="G735" t="s">
        <v>68</v>
      </c>
      <c r="H735" t="s">
        <v>73</v>
      </c>
    </row>
    <row r="736" spans="1:8" x14ac:dyDescent="0.3">
      <c r="A736" t="s">
        <v>34</v>
      </c>
      <c r="B736">
        <v>10</v>
      </c>
      <c r="C736" t="s">
        <v>39</v>
      </c>
      <c r="E736">
        <v>1979</v>
      </c>
      <c r="F736">
        <v>1</v>
      </c>
      <c r="G736" t="s">
        <v>68</v>
      </c>
      <c r="H736" t="s">
        <v>73</v>
      </c>
    </row>
    <row r="737" spans="1:8" x14ac:dyDescent="0.3">
      <c r="A737" t="s">
        <v>34</v>
      </c>
      <c r="B737">
        <v>10</v>
      </c>
      <c r="C737" t="s">
        <v>39</v>
      </c>
      <c r="E737">
        <v>1980</v>
      </c>
      <c r="F737">
        <v>1</v>
      </c>
      <c r="G737" t="s">
        <v>68</v>
      </c>
      <c r="H737" t="s">
        <v>73</v>
      </c>
    </row>
    <row r="738" spans="1:8" x14ac:dyDescent="0.3">
      <c r="A738" t="s">
        <v>34</v>
      </c>
      <c r="B738">
        <v>10</v>
      </c>
      <c r="C738" t="s">
        <v>39</v>
      </c>
      <c r="E738">
        <v>1981</v>
      </c>
      <c r="F738">
        <v>1</v>
      </c>
      <c r="G738" t="s">
        <v>68</v>
      </c>
      <c r="H738" t="s">
        <v>73</v>
      </c>
    </row>
    <row r="739" spans="1:8" x14ac:dyDescent="0.3">
      <c r="A739" t="s">
        <v>34</v>
      </c>
      <c r="B739">
        <v>10</v>
      </c>
      <c r="C739" t="s">
        <v>39</v>
      </c>
      <c r="E739">
        <v>1982</v>
      </c>
      <c r="F739">
        <v>1</v>
      </c>
      <c r="G739" t="s">
        <v>68</v>
      </c>
      <c r="H739" t="s">
        <v>73</v>
      </c>
    </row>
    <row r="740" spans="1:8" x14ac:dyDescent="0.3">
      <c r="A740" t="s">
        <v>34</v>
      </c>
      <c r="B740">
        <v>10</v>
      </c>
      <c r="C740" t="s">
        <v>39</v>
      </c>
      <c r="E740">
        <v>1983</v>
      </c>
      <c r="F740">
        <v>1</v>
      </c>
      <c r="G740" t="s">
        <v>68</v>
      </c>
      <c r="H740" t="s">
        <v>73</v>
      </c>
    </row>
    <row r="741" spans="1:8" x14ac:dyDescent="0.3">
      <c r="A741" t="s">
        <v>34</v>
      </c>
      <c r="B741">
        <v>10</v>
      </c>
      <c r="C741" t="s">
        <v>39</v>
      </c>
      <c r="D741">
        <v>20.5</v>
      </c>
      <c r="E741">
        <v>1984</v>
      </c>
      <c r="F741">
        <v>6</v>
      </c>
      <c r="G741" t="s">
        <v>68</v>
      </c>
      <c r="H741" t="s">
        <v>73</v>
      </c>
    </row>
    <row r="742" spans="1:8" x14ac:dyDescent="0.3">
      <c r="A742" t="s">
        <v>34</v>
      </c>
      <c r="B742">
        <v>10</v>
      </c>
      <c r="C742" t="s">
        <v>39</v>
      </c>
      <c r="D742">
        <v>36.5</v>
      </c>
      <c r="E742">
        <v>1984</v>
      </c>
      <c r="F742">
        <v>9</v>
      </c>
      <c r="G742" t="s">
        <v>68</v>
      </c>
      <c r="H742" t="s">
        <v>73</v>
      </c>
    </row>
    <row r="743" spans="1:8" x14ac:dyDescent="0.3">
      <c r="A743" t="s">
        <v>34</v>
      </c>
      <c r="B743">
        <v>10</v>
      </c>
      <c r="C743" t="s">
        <v>39</v>
      </c>
      <c r="E743">
        <v>1985</v>
      </c>
      <c r="F743">
        <v>1</v>
      </c>
      <c r="G743" t="s">
        <v>68</v>
      </c>
      <c r="H743" t="s">
        <v>73</v>
      </c>
    </row>
    <row r="744" spans="1:8" x14ac:dyDescent="0.3">
      <c r="A744" t="s">
        <v>34</v>
      </c>
      <c r="B744">
        <v>10</v>
      </c>
      <c r="C744" t="s">
        <v>39</v>
      </c>
      <c r="E744">
        <v>1986</v>
      </c>
      <c r="F744">
        <v>1</v>
      </c>
      <c r="G744" t="s">
        <v>68</v>
      </c>
      <c r="H744" t="s">
        <v>73</v>
      </c>
    </row>
    <row r="745" spans="1:8" x14ac:dyDescent="0.3">
      <c r="A745" t="s">
        <v>34</v>
      </c>
      <c r="B745">
        <v>10</v>
      </c>
      <c r="C745" t="s">
        <v>39</v>
      </c>
      <c r="E745">
        <v>1987</v>
      </c>
      <c r="F745">
        <v>1</v>
      </c>
      <c r="G745" t="s">
        <v>68</v>
      </c>
      <c r="H745" t="s">
        <v>73</v>
      </c>
    </row>
    <row r="746" spans="1:8" x14ac:dyDescent="0.3">
      <c r="A746" t="s">
        <v>34</v>
      </c>
      <c r="B746">
        <v>10</v>
      </c>
      <c r="C746" t="s">
        <v>39</v>
      </c>
      <c r="E746">
        <v>1988</v>
      </c>
      <c r="F746">
        <v>1</v>
      </c>
      <c r="G746" t="s">
        <v>68</v>
      </c>
      <c r="H746" t="s">
        <v>73</v>
      </c>
    </row>
    <row r="747" spans="1:8" x14ac:dyDescent="0.3">
      <c r="A747" t="s">
        <v>34</v>
      </c>
      <c r="B747">
        <v>10</v>
      </c>
      <c r="C747" t="s">
        <v>39</v>
      </c>
      <c r="E747">
        <v>1989</v>
      </c>
      <c r="F747">
        <v>1</v>
      </c>
      <c r="G747" t="s">
        <v>68</v>
      </c>
      <c r="H747" t="s">
        <v>73</v>
      </c>
    </row>
    <row r="748" spans="1:8" x14ac:dyDescent="0.3">
      <c r="A748" t="s">
        <v>34</v>
      </c>
      <c r="B748">
        <v>10</v>
      </c>
      <c r="C748" t="s">
        <v>39</v>
      </c>
      <c r="E748">
        <v>1990</v>
      </c>
      <c r="F748">
        <v>1</v>
      </c>
      <c r="G748" t="s">
        <v>68</v>
      </c>
      <c r="H748" t="s">
        <v>73</v>
      </c>
    </row>
    <row r="749" spans="1:8" x14ac:dyDescent="0.3">
      <c r="A749" t="s">
        <v>34</v>
      </c>
      <c r="B749">
        <v>10</v>
      </c>
      <c r="C749" t="s">
        <v>39</v>
      </c>
      <c r="E749">
        <v>1991</v>
      </c>
      <c r="F749">
        <v>1</v>
      </c>
      <c r="G749" t="s">
        <v>68</v>
      </c>
      <c r="H749" t="s">
        <v>73</v>
      </c>
    </row>
    <row r="750" spans="1:8" x14ac:dyDescent="0.3">
      <c r="A750" t="s">
        <v>34</v>
      </c>
      <c r="B750">
        <v>10</v>
      </c>
      <c r="C750" t="s">
        <v>39</v>
      </c>
      <c r="E750">
        <v>1992</v>
      </c>
      <c r="F750">
        <v>1</v>
      </c>
      <c r="G750" t="s">
        <v>68</v>
      </c>
      <c r="H750" t="s">
        <v>73</v>
      </c>
    </row>
    <row r="751" spans="1:8" x14ac:dyDescent="0.3">
      <c r="A751" t="s">
        <v>34</v>
      </c>
      <c r="B751">
        <v>10</v>
      </c>
      <c r="C751" t="s">
        <v>39</v>
      </c>
      <c r="E751">
        <v>1993</v>
      </c>
      <c r="F751">
        <v>1</v>
      </c>
      <c r="G751" t="s">
        <v>68</v>
      </c>
      <c r="H751" t="s">
        <v>73</v>
      </c>
    </row>
    <row r="752" spans="1:8" x14ac:dyDescent="0.3">
      <c r="A752" t="s">
        <v>34</v>
      </c>
      <c r="B752">
        <v>10</v>
      </c>
      <c r="C752" t="s">
        <v>39</v>
      </c>
      <c r="E752">
        <v>1994</v>
      </c>
      <c r="F752">
        <v>1</v>
      </c>
      <c r="G752" t="s">
        <v>68</v>
      </c>
      <c r="H752" t="s">
        <v>73</v>
      </c>
    </row>
    <row r="753" spans="1:8" x14ac:dyDescent="0.3">
      <c r="A753" t="s">
        <v>34</v>
      </c>
      <c r="B753">
        <v>10</v>
      </c>
      <c r="C753" t="s">
        <v>39</v>
      </c>
      <c r="E753">
        <v>1995</v>
      </c>
      <c r="F753">
        <v>1</v>
      </c>
      <c r="G753" t="s">
        <v>68</v>
      </c>
      <c r="H753" t="s">
        <v>73</v>
      </c>
    </row>
    <row r="754" spans="1:8" x14ac:dyDescent="0.3">
      <c r="A754" t="s">
        <v>34</v>
      </c>
      <c r="B754">
        <v>10</v>
      </c>
      <c r="C754" t="s">
        <v>39</v>
      </c>
      <c r="E754">
        <v>1996</v>
      </c>
      <c r="F754">
        <v>1</v>
      </c>
      <c r="G754" t="s">
        <v>68</v>
      </c>
      <c r="H754" t="s">
        <v>73</v>
      </c>
    </row>
    <row r="755" spans="1:8" x14ac:dyDescent="0.3">
      <c r="A755" t="s">
        <v>34</v>
      </c>
      <c r="B755">
        <v>10</v>
      </c>
      <c r="C755" t="s">
        <v>39</v>
      </c>
      <c r="E755">
        <v>1997</v>
      </c>
      <c r="F755">
        <v>1</v>
      </c>
      <c r="G755" t="s">
        <v>68</v>
      </c>
      <c r="H755" t="s">
        <v>73</v>
      </c>
    </row>
    <row r="756" spans="1:8" x14ac:dyDescent="0.3">
      <c r="A756" t="s">
        <v>34</v>
      </c>
      <c r="B756">
        <v>10</v>
      </c>
      <c r="C756" t="s">
        <v>39</v>
      </c>
      <c r="E756">
        <v>1998</v>
      </c>
      <c r="F756">
        <v>1</v>
      </c>
      <c r="G756" t="s">
        <v>68</v>
      </c>
      <c r="H756" t="s">
        <v>73</v>
      </c>
    </row>
    <row r="757" spans="1:8" x14ac:dyDescent="0.3">
      <c r="A757" t="s">
        <v>34</v>
      </c>
      <c r="B757">
        <v>10</v>
      </c>
      <c r="C757" t="s">
        <v>39</v>
      </c>
      <c r="E757">
        <v>1999</v>
      </c>
      <c r="F757">
        <v>1</v>
      </c>
      <c r="G757" t="s">
        <v>68</v>
      </c>
      <c r="H757" t="s">
        <v>73</v>
      </c>
    </row>
    <row r="758" spans="1:8" x14ac:dyDescent="0.3">
      <c r="A758" t="s">
        <v>34</v>
      </c>
      <c r="B758">
        <v>10</v>
      </c>
      <c r="C758" t="s">
        <v>39</v>
      </c>
      <c r="E758">
        <v>2000</v>
      </c>
      <c r="F758">
        <v>1</v>
      </c>
      <c r="G758" t="s">
        <v>68</v>
      </c>
      <c r="H758" t="s">
        <v>73</v>
      </c>
    </row>
    <row r="759" spans="1:8" x14ac:dyDescent="0.3">
      <c r="A759" t="s">
        <v>34</v>
      </c>
      <c r="B759">
        <v>10</v>
      </c>
      <c r="C759" t="s">
        <v>39</v>
      </c>
      <c r="E759">
        <v>2001</v>
      </c>
      <c r="F759">
        <v>1</v>
      </c>
      <c r="G759" t="s">
        <v>68</v>
      </c>
      <c r="H759" t="s">
        <v>73</v>
      </c>
    </row>
    <row r="760" spans="1:8" x14ac:dyDescent="0.3">
      <c r="A760" t="s">
        <v>34</v>
      </c>
      <c r="B760">
        <v>10</v>
      </c>
      <c r="C760" t="s">
        <v>39</v>
      </c>
      <c r="E760">
        <v>2002</v>
      </c>
      <c r="F760">
        <v>1</v>
      </c>
      <c r="G760" t="s">
        <v>68</v>
      </c>
      <c r="H760" t="s">
        <v>73</v>
      </c>
    </row>
    <row r="761" spans="1:8" x14ac:dyDescent="0.3">
      <c r="A761" t="s">
        <v>34</v>
      </c>
      <c r="B761">
        <v>10</v>
      </c>
      <c r="C761" t="s">
        <v>39</v>
      </c>
      <c r="E761">
        <v>2003</v>
      </c>
      <c r="F761">
        <v>1</v>
      </c>
      <c r="G761" t="s">
        <v>68</v>
      </c>
      <c r="H761" t="s">
        <v>73</v>
      </c>
    </row>
    <row r="762" spans="1:8" x14ac:dyDescent="0.3">
      <c r="A762" t="s">
        <v>34</v>
      </c>
      <c r="B762">
        <v>10</v>
      </c>
      <c r="C762" t="s">
        <v>39</v>
      </c>
      <c r="E762">
        <v>2004</v>
      </c>
      <c r="F762">
        <v>1</v>
      </c>
      <c r="G762" t="s">
        <v>68</v>
      </c>
      <c r="H762" t="s">
        <v>73</v>
      </c>
    </row>
    <row r="763" spans="1:8" x14ac:dyDescent="0.3">
      <c r="A763" t="s">
        <v>34</v>
      </c>
      <c r="B763">
        <v>10</v>
      </c>
      <c r="C763" t="s">
        <v>39</v>
      </c>
      <c r="D763">
        <v>0</v>
      </c>
      <c r="E763">
        <v>2005</v>
      </c>
      <c r="F763">
        <v>8</v>
      </c>
      <c r="G763" t="s">
        <v>68</v>
      </c>
      <c r="H763" t="s">
        <v>73</v>
      </c>
    </row>
    <row r="764" spans="1:8" x14ac:dyDescent="0.3">
      <c r="A764" t="s">
        <v>34</v>
      </c>
      <c r="B764">
        <v>10</v>
      </c>
      <c r="C764" t="s">
        <v>39</v>
      </c>
      <c r="D764">
        <v>0.1</v>
      </c>
      <c r="E764">
        <v>2006</v>
      </c>
      <c r="F764">
        <v>3</v>
      </c>
      <c r="G764" t="s">
        <v>68</v>
      </c>
      <c r="H764" t="s">
        <v>73</v>
      </c>
    </row>
    <row r="765" spans="1:8" x14ac:dyDescent="0.3">
      <c r="A765" t="s">
        <v>34</v>
      </c>
      <c r="B765">
        <v>10</v>
      </c>
      <c r="C765" t="s">
        <v>39</v>
      </c>
      <c r="D765">
        <v>1.1000000000000001</v>
      </c>
      <c r="E765">
        <v>2006</v>
      </c>
      <c r="F765">
        <v>8</v>
      </c>
      <c r="G765" t="s">
        <v>68</v>
      </c>
      <c r="H765" t="s">
        <v>73</v>
      </c>
    </row>
    <row r="766" spans="1:8" x14ac:dyDescent="0.3">
      <c r="A766" t="s">
        <v>48</v>
      </c>
      <c r="B766">
        <v>1</v>
      </c>
      <c r="C766" t="s">
        <v>40</v>
      </c>
      <c r="D766">
        <v>177</v>
      </c>
      <c r="E766">
        <v>2002</v>
      </c>
      <c r="G766" t="s">
        <v>9</v>
      </c>
      <c r="H766" t="s">
        <v>67</v>
      </c>
    </row>
    <row r="767" spans="1:8" x14ac:dyDescent="0.3">
      <c r="A767" t="s">
        <v>48</v>
      </c>
      <c r="B767">
        <v>1</v>
      </c>
      <c r="C767" t="s">
        <v>40</v>
      </c>
      <c r="D767">
        <v>32.5</v>
      </c>
      <c r="E767">
        <v>2003</v>
      </c>
      <c r="G767" t="s">
        <v>9</v>
      </c>
      <c r="H767" t="s">
        <v>67</v>
      </c>
    </row>
    <row r="768" spans="1:8" x14ac:dyDescent="0.3">
      <c r="A768" t="s">
        <v>48</v>
      </c>
      <c r="B768">
        <v>1</v>
      </c>
      <c r="C768" t="s">
        <v>40</v>
      </c>
      <c r="D768">
        <v>74.5</v>
      </c>
      <c r="E768">
        <v>2004</v>
      </c>
      <c r="G768" t="s">
        <v>9</v>
      </c>
      <c r="H768" t="s">
        <v>67</v>
      </c>
    </row>
    <row r="769" spans="1:8" x14ac:dyDescent="0.3">
      <c r="A769" t="s">
        <v>48</v>
      </c>
      <c r="B769">
        <v>1</v>
      </c>
      <c r="C769" t="s">
        <v>40</v>
      </c>
      <c r="D769">
        <v>55.75</v>
      </c>
      <c r="E769">
        <v>2005</v>
      </c>
      <c r="G769" t="s">
        <v>9</v>
      </c>
      <c r="H769" t="s">
        <v>67</v>
      </c>
    </row>
    <row r="770" spans="1:8" x14ac:dyDescent="0.3">
      <c r="A770" t="s">
        <v>48</v>
      </c>
      <c r="B770">
        <v>1</v>
      </c>
      <c r="C770" t="s">
        <v>40</v>
      </c>
      <c r="D770">
        <v>59</v>
      </c>
      <c r="E770">
        <v>2006</v>
      </c>
      <c r="G770" t="s">
        <v>9</v>
      </c>
      <c r="H770" t="s">
        <v>67</v>
      </c>
    </row>
    <row r="771" spans="1:8" x14ac:dyDescent="0.3">
      <c r="A771" t="s">
        <v>48</v>
      </c>
      <c r="B771">
        <v>1</v>
      </c>
      <c r="C771" t="s">
        <v>40</v>
      </c>
      <c r="D771">
        <v>43.25</v>
      </c>
      <c r="E771">
        <v>2007</v>
      </c>
      <c r="G771" t="s">
        <v>9</v>
      </c>
      <c r="H771" t="s">
        <v>67</v>
      </c>
    </row>
    <row r="772" spans="1:8" x14ac:dyDescent="0.3">
      <c r="A772" t="s">
        <v>48</v>
      </c>
      <c r="B772">
        <v>1</v>
      </c>
      <c r="C772" t="s">
        <v>40</v>
      </c>
      <c r="D772">
        <v>28.25</v>
      </c>
      <c r="E772">
        <v>2008</v>
      </c>
      <c r="G772" t="s">
        <v>9</v>
      </c>
      <c r="H772" t="s">
        <v>67</v>
      </c>
    </row>
    <row r="773" spans="1:8" x14ac:dyDescent="0.3">
      <c r="A773" t="s">
        <v>48</v>
      </c>
      <c r="B773">
        <v>1</v>
      </c>
      <c r="C773" t="s">
        <v>40</v>
      </c>
      <c r="D773">
        <v>18.25</v>
      </c>
      <c r="E773">
        <v>2009</v>
      </c>
      <c r="G773" t="s">
        <v>9</v>
      </c>
      <c r="H773" t="s">
        <v>67</v>
      </c>
    </row>
    <row r="774" spans="1:8" x14ac:dyDescent="0.3">
      <c r="A774" t="s">
        <v>48</v>
      </c>
      <c r="B774">
        <v>1</v>
      </c>
      <c r="C774" t="s">
        <v>40</v>
      </c>
      <c r="D774">
        <v>13.75</v>
      </c>
      <c r="E774">
        <v>2010</v>
      </c>
      <c r="G774" t="s">
        <v>9</v>
      </c>
      <c r="H774" t="s">
        <v>67</v>
      </c>
    </row>
    <row r="775" spans="1:8" x14ac:dyDescent="0.3">
      <c r="A775" t="s">
        <v>48</v>
      </c>
      <c r="B775">
        <v>1</v>
      </c>
      <c r="C775" t="s">
        <v>40</v>
      </c>
      <c r="D775">
        <v>39.5</v>
      </c>
      <c r="E775">
        <v>2011</v>
      </c>
      <c r="G775" t="s">
        <v>9</v>
      </c>
      <c r="H775" t="s">
        <v>67</v>
      </c>
    </row>
    <row r="776" spans="1:8" x14ac:dyDescent="0.3">
      <c r="A776" t="s">
        <v>48</v>
      </c>
      <c r="B776">
        <v>1</v>
      </c>
      <c r="C776" t="s">
        <v>40</v>
      </c>
      <c r="D776">
        <v>38</v>
      </c>
      <c r="E776">
        <v>2012</v>
      </c>
      <c r="G776" t="s">
        <v>9</v>
      </c>
      <c r="H776" t="s">
        <v>67</v>
      </c>
    </row>
    <row r="777" spans="1:8" x14ac:dyDescent="0.3">
      <c r="A777" t="s">
        <v>48</v>
      </c>
      <c r="B777">
        <v>2</v>
      </c>
      <c r="C777" t="s">
        <v>41</v>
      </c>
      <c r="D777">
        <v>77</v>
      </c>
      <c r="E777">
        <v>2002</v>
      </c>
      <c r="G777" t="s">
        <v>9</v>
      </c>
      <c r="H777" t="s">
        <v>67</v>
      </c>
    </row>
    <row r="778" spans="1:8" x14ac:dyDescent="0.3">
      <c r="A778" t="s">
        <v>48</v>
      </c>
      <c r="B778">
        <v>2</v>
      </c>
      <c r="C778" t="s">
        <v>41</v>
      </c>
      <c r="D778">
        <v>16.5</v>
      </c>
      <c r="E778">
        <v>2003</v>
      </c>
      <c r="G778" t="s">
        <v>9</v>
      </c>
      <c r="H778" t="s">
        <v>67</v>
      </c>
    </row>
    <row r="779" spans="1:8" x14ac:dyDescent="0.3">
      <c r="A779" t="s">
        <v>48</v>
      </c>
      <c r="B779">
        <v>2</v>
      </c>
      <c r="C779" t="s">
        <v>41</v>
      </c>
      <c r="D779">
        <v>52</v>
      </c>
      <c r="E779">
        <v>2004</v>
      </c>
      <c r="G779" t="s">
        <v>9</v>
      </c>
      <c r="H779" t="s">
        <v>67</v>
      </c>
    </row>
    <row r="780" spans="1:8" x14ac:dyDescent="0.3">
      <c r="A780" t="s">
        <v>48</v>
      </c>
      <c r="B780">
        <v>2</v>
      </c>
      <c r="C780" t="s">
        <v>41</v>
      </c>
      <c r="D780">
        <v>26.75</v>
      </c>
      <c r="E780">
        <v>2005</v>
      </c>
      <c r="G780" t="s">
        <v>9</v>
      </c>
      <c r="H780" t="s">
        <v>67</v>
      </c>
    </row>
    <row r="781" spans="1:8" x14ac:dyDescent="0.3">
      <c r="A781" t="s">
        <v>48</v>
      </c>
      <c r="B781">
        <v>2</v>
      </c>
      <c r="C781" t="s">
        <v>41</v>
      </c>
      <c r="D781">
        <v>20.75</v>
      </c>
      <c r="E781">
        <v>2006</v>
      </c>
      <c r="G781" t="s">
        <v>9</v>
      </c>
      <c r="H781" t="s">
        <v>67</v>
      </c>
    </row>
    <row r="782" spans="1:8" x14ac:dyDescent="0.3">
      <c r="A782" t="s">
        <v>48</v>
      </c>
      <c r="B782">
        <v>2</v>
      </c>
      <c r="C782" t="s">
        <v>41</v>
      </c>
      <c r="D782">
        <v>9.75</v>
      </c>
      <c r="E782">
        <v>2007</v>
      </c>
      <c r="G782" t="s">
        <v>9</v>
      </c>
      <c r="H782" t="s">
        <v>67</v>
      </c>
    </row>
    <row r="783" spans="1:8" x14ac:dyDescent="0.3">
      <c r="A783" t="s">
        <v>48</v>
      </c>
      <c r="B783">
        <v>2</v>
      </c>
      <c r="C783" t="s">
        <v>41</v>
      </c>
      <c r="D783">
        <v>5</v>
      </c>
      <c r="E783">
        <v>2008</v>
      </c>
      <c r="G783" t="s">
        <v>9</v>
      </c>
      <c r="H783" t="s">
        <v>67</v>
      </c>
    </row>
    <row r="784" spans="1:8" x14ac:dyDescent="0.3">
      <c r="A784" t="s">
        <v>48</v>
      </c>
      <c r="B784">
        <v>2</v>
      </c>
      <c r="C784" t="s">
        <v>41</v>
      </c>
      <c r="D784">
        <v>5.75</v>
      </c>
      <c r="E784">
        <v>2009</v>
      </c>
      <c r="G784" t="s">
        <v>9</v>
      </c>
      <c r="H784" t="s">
        <v>67</v>
      </c>
    </row>
    <row r="785" spans="1:8" x14ac:dyDescent="0.3">
      <c r="A785" t="s">
        <v>48</v>
      </c>
      <c r="B785">
        <v>2</v>
      </c>
      <c r="C785" t="s">
        <v>41</v>
      </c>
      <c r="D785">
        <v>9</v>
      </c>
      <c r="E785">
        <v>2010</v>
      </c>
      <c r="G785" t="s">
        <v>9</v>
      </c>
      <c r="H785" t="s">
        <v>67</v>
      </c>
    </row>
    <row r="786" spans="1:8" x14ac:dyDescent="0.3">
      <c r="A786" t="s">
        <v>48</v>
      </c>
      <c r="B786">
        <v>2</v>
      </c>
      <c r="C786" t="s">
        <v>41</v>
      </c>
      <c r="D786">
        <v>6.5</v>
      </c>
      <c r="E786">
        <v>2011</v>
      </c>
      <c r="G786" t="s">
        <v>9</v>
      </c>
      <c r="H786" t="s">
        <v>67</v>
      </c>
    </row>
    <row r="787" spans="1:8" x14ac:dyDescent="0.3">
      <c r="A787" t="s">
        <v>48</v>
      </c>
      <c r="B787">
        <v>2</v>
      </c>
      <c r="C787" t="s">
        <v>41</v>
      </c>
      <c r="D787">
        <v>10.5</v>
      </c>
      <c r="E787">
        <v>2012</v>
      </c>
      <c r="G787" t="s">
        <v>9</v>
      </c>
      <c r="H787" t="s">
        <v>67</v>
      </c>
    </row>
    <row r="788" spans="1:8" x14ac:dyDescent="0.3">
      <c r="A788" t="s">
        <v>48</v>
      </c>
      <c r="B788">
        <v>3</v>
      </c>
      <c r="C788" t="s">
        <v>42</v>
      </c>
      <c r="D788">
        <v>136.5</v>
      </c>
      <c r="E788">
        <v>2002</v>
      </c>
      <c r="G788" t="s">
        <v>9</v>
      </c>
      <c r="H788" t="s">
        <v>67</v>
      </c>
    </row>
    <row r="789" spans="1:8" x14ac:dyDescent="0.3">
      <c r="A789" t="s">
        <v>48</v>
      </c>
      <c r="B789">
        <v>3</v>
      </c>
      <c r="C789" t="s">
        <v>42</v>
      </c>
      <c r="D789">
        <v>44</v>
      </c>
      <c r="E789">
        <v>2003</v>
      </c>
      <c r="G789" t="s">
        <v>9</v>
      </c>
      <c r="H789" t="s">
        <v>67</v>
      </c>
    </row>
    <row r="790" spans="1:8" x14ac:dyDescent="0.3">
      <c r="A790" t="s">
        <v>48</v>
      </c>
      <c r="B790">
        <v>3</v>
      </c>
      <c r="C790" t="s">
        <v>42</v>
      </c>
      <c r="D790">
        <v>38.5</v>
      </c>
      <c r="E790">
        <v>2004</v>
      </c>
      <c r="G790" t="s">
        <v>9</v>
      </c>
      <c r="H790" t="s">
        <v>67</v>
      </c>
    </row>
    <row r="791" spans="1:8" x14ac:dyDescent="0.3">
      <c r="A791" t="s">
        <v>48</v>
      </c>
      <c r="B791">
        <v>3</v>
      </c>
      <c r="C791" t="s">
        <v>42</v>
      </c>
      <c r="D791">
        <v>74.75</v>
      </c>
      <c r="E791">
        <v>2005</v>
      </c>
      <c r="G791" t="s">
        <v>9</v>
      </c>
      <c r="H791" t="s">
        <v>67</v>
      </c>
    </row>
    <row r="792" spans="1:8" x14ac:dyDescent="0.3">
      <c r="A792" t="s">
        <v>48</v>
      </c>
      <c r="B792">
        <v>3</v>
      </c>
      <c r="C792" t="s">
        <v>42</v>
      </c>
      <c r="D792">
        <v>72.75</v>
      </c>
      <c r="E792">
        <v>2006</v>
      </c>
      <c r="G792" t="s">
        <v>9</v>
      </c>
      <c r="H792" t="s">
        <v>67</v>
      </c>
    </row>
    <row r="793" spans="1:8" x14ac:dyDescent="0.3">
      <c r="A793" t="s">
        <v>48</v>
      </c>
      <c r="B793">
        <v>3</v>
      </c>
      <c r="C793" t="s">
        <v>42</v>
      </c>
      <c r="D793">
        <v>47.25</v>
      </c>
      <c r="E793">
        <v>2007</v>
      </c>
      <c r="G793" t="s">
        <v>9</v>
      </c>
      <c r="H793" t="s">
        <v>67</v>
      </c>
    </row>
    <row r="794" spans="1:8" x14ac:dyDescent="0.3">
      <c r="A794" t="s">
        <v>48</v>
      </c>
      <c r="B794">
        <v>3</v>
      </c>
      <c r="C794" t="s">
        <v>42</v>
      </c>
      <c r="D794">
        <v>25</v>
      </c>
      <c r="E794">
        <v>2008</v>
      </c>
      <c r="G794" t="s">
        <v>9</v>
      </c>
      <c r="H794" t="s">
        <v>67</v>
      </c>
    </row>
    <row r="795" spans="1:8" x14ac:dyDescent="0.3">
      <c r="A795" t="s">
        <v>48</v>
      </c>
      <c r="B795">
        <v>3</v>
      </c>
      <c r="C795" t="s">
        <v>42</v>
      </c>
      <c r="D795">
        <v>27</v>
      </c>
      <c r="E795">
        <v>2009</v>
      </c>
      <c r="G795" t="s">
        <v>9</v>
      </c>
      <c r="H795" t="s">
        <v>67</v>
      </c>
    </row>
    <row r="796" spans="1:8" x14ac:dyDescent="0.3">
      <c r="A796" t="s">
        <v>48</v>
      </c>
      <c r="B796">
        <v>3</v>
      </c>
      <c r="C796" t="s">
        <v>42</v>
      </c>
      <c r="D796">
        <v>62.25</v>
      </c>
      <c r="E796">
        <v>2010</v>
      </c>
      <c r="G796" t="s">
        <v>9</v>
      </c>
      <c r="H796" t="s">
        <v>67</v>
      </c>
    </row>
    <row r="797" spans="1:8" x14ac:dyDescent="0.3">
      <c r="A797" t="s">
        <v>48</v>
      </c>
      <c r="B797">
        <v>3</v>
      </c>
      <c r="C797" t="s">
        <v>42</v>
      </c>
      <c r="D797">
        <v>66</v>
      </c>
      <c r="E797">
        <v>2011</v>
      </c>
      <c r="G797" t="s">
        <v>9</v>
      </c>
      <c r="H797" t="s">
        <v>67</v>
      </c>
    </row>
    <row r="798" spans="1:8" x14ac:dyDescent="0.3">
      <c r="A798" t="s">
        <v>48</v>
      </c>
      <c r="B798">
        <v>3</v>
      </c>
      <c r="C798" t="s">
        <v>42</v>
      </c>
      <c r="D798">
        <v>46</v>
      </c>
      <c r="E798">
        <v>2012</v>
      </c>
      <c r="G798" t="s">
        <v>9</v>
      </c>
      <c r="H798" t="s">
        <v>67</v>
      </c>
    </row>
    <row r="799" spans="1:8" x14ac:dyDescent="0.3">
      <c r="A799" t="s">
        <v>48</v>
      </c>
      <c r="B799">
        <v>4</v>
      </c>
      <c r="C799" t="s">
        <v>43</v>
      </c>
      <c r="D799">
        <v>202.5</v>
      </c>
      <c r="E799">
        <v>2002</v>
      </c>
      <c r="G799" t="s">
        <v>9</v>
      </c>
      <c r="H799" t="s">
        <v>67</v>
      </c>
    </row>
    <row r="800" spans="1:8" x14ac:dyDescent="0.3">
      <c r="A800" t="s">
        <v>48</v>
      </c>
      <c r="B800">
        <v>4</v>
      </c>
      <c r="C800" t="s">
        <v>43</v>
      </c>
      <c r="D800">
        <v>45</v>
      </c>
      <c r="E800">
        <v>2003</v>
      </c>
      <c r="G800" t="s">
        <v>9</v>
      </c>
      <c r="H800" t="s">
        <v>67</v>
      </c>
    </row>
    <row r="801" spans="1:8" x14ac:dyDescent="0.3">
      <c r="A801" t="s">
        <v>48</v>
      </c>
      <c r="B801">
        <v>4</v>
      </c>
      <c r="C801" t="s">
        <v>43</v>
      </c>
      <c r="D801">
        <v>73.5</v>
      </c>
      <c r="E801">
        <v>2004</v>
      </c>
      <c r="G801" t="s">
        <v>9</v>
      </c>
      <c r="H801" t="s">
        <v>67</v>
      </c>
    </row>
    <row r="802" spans="1:8" x14ac:dyDescent="0.3">
      <c r="A802" t="s">
        <v>48</v>
      </c>
      <c r="B802">
        <v>4</v>
      </c>
      <c r="C802" t="s">
        <v>43</v>
      </c>
      <c r="D802">
        <v>50.75</v>
      </c>
      <c r="E802">
        <v>2005</v>
      </c>
      <c r="G802" t="s">
        <v>9</v>
      </c>
      <c r="H802" t="s">
        <v>67</v>
      </c>
    </row>
    <row r="803" spans="1:8" x14ac:dyDescent="0.3">
      <c r="A803" t="s">
        <v>48</v>
      </c>
      <c r="B803">
        <v>4</v>
      </c>
      <c r="C803" t="s">
        <v>43</v>
      </c>
      <c r="D803">
        <v>47</v>
      </c>
      <c r="E803">
        <v>2006</v>
      </c>
      <c r="G803" t="s">
        <v>9</v>
      </c>
      <c r="H803" t="s">
        <v>67</v>
      </c>
    </row>
    <row r="804" spans="1:8" x14ac:dyDescent="0.3">
      <c r="A804" t="s">
        <v>48</v>
      </c>
      <c r="B804">
        <v>4</v>
      </c>
      <c r="C804" t="s">
        <v>43</v>
      </c>
      <c r="D804">
        <v>36</v>
      </c>
      <c r="E804">
        <v>2007</v>
      </c>
      <c r="G804" t="s">
        <v>9</v>
      </c>
      <c r="H804" t="s">
        <v>67</v>
      </c>
    </row>
    <row r="805" spans="1:8" x14ac:dyDescent="0.3">
      <c r="A805" t="s">
        <v>48</v>
      </c>
      <c r="B805">
        <v>4</v>
      </c>
      <c r="C805" t="s">
        <v>43</v>
      </c>
      <c r="D805">
        <v>15.75</v>
      </c>
      <c r="E805">
        <v>2008</v>
      </c>
      <c r="G805" t="s">
        <v>9</v>
      </c>
      <c r="H805" t="s">
        <v>67</v>
      </c>
    </row>
    <row r="806" spans="1:8" x14ac:dyDescent="0.3">
      <c r="A806" t="s">
        <v>48</v>
      </c>
      <c r="B806">
        <v>4</v>
      </c>
      <c r="C806" t="s">
        <v>43</v>
      </c>
      <c r="D806">
        <v>12.75</v>
      </c>
      <c r="E806">
        <v>2009</v>
      </c>
      <c r="G806" t="s">
        <v>9</v>
      </c>
      <c r="H806" t="s">
        <v>67</v>
      </c>
    </row>
    <row r="807" spans="1:8" x14ac:dyDescent="0.3">
      <c r="A807" t="s">
        <v>48</v>
      </c>
      <c r="B807">
        <v>4</v>
      </c>
      <c r="C807" t="s">
        <v>43</v>
      </c>
      <c r="D807">
        <v>41.5</v>
      </c>
      <c r="E807">
        <v>2010</v>
      </c>
      <c r="G807" t="s">
        <v>9</v>
      </c>
      <c r="H807" t="s">
        <v>67</v>
      </c>
    </row>
    <row r="808" spans="1:8" x14ac:dyDescent="0.3">
      <c r="A808" t="s">
        <v>48</v>
      </c>
      <c r="B808">
        <v>4</v>
      </c>
      <c r="C808" t="s">
        <v>43</v>
      </c>
      <c r="D808">
        <v>54.25</v>
      </c>
      <c r="E808">
        <v>2011</v>
      </c>
      <c r="G808" t="s">
        <v>9</v>
      </c>
      <c r="H808" t="s">
        <v>67</v>
      </c>
    </row>
    <row r="809" spans="1:8" x14ac:dyDescent="0.3">
      <c r="A809" t="s">
        <v>48</v>
      </c>
      <c r="B809">
        <v>4</v>
      </c>
      <c r="C809" t="s">
        <v>43</v>
      </c>
      <c r="D809">
        <v>59.75</v>
      </c>
      <c r="E809">
        <v>2012</v>
      </c>
      <c r="G809" t="s">
        <v>9</v>
      </c>
      <c r="H809" t="s">
        <v>67</v>
      </c>
    </row>
    <row r="810" spans="1:8" x14ac:dyDescent="0.3">
      <c r="A810" t="s">
        <v>48</v>
      </c>
      <c r="B810">
        <v>5</v>
      </c>
      <c r="C810" t="s">
        <v>44</v>
      </c>
      <c r="D810">
        <v>3.75</v>
      </c>
      <c r="E810">
        <v>2006</v>
      </c>
      <c r="G810" t="s">
        <v>9</v>
      </c>
      <c r="H810" t="s">
        <v>67</v>
      </c>
    </row>
    <row r="811" spans="1:8" x14ac:dyDescent="0.3">
      <c r="A811" t="s">
        <v>48</v>
      </c>
      <c r="B811">
        <v>5</v>
      </c>
      <c r="C811" t="s">
        <v>44</v>
      </c>
      <c r="D811">
        <v>63.75</v>
      </c>
      <c r="E811">
        <v>2007</v>
      </c>
      <c r="G811" t="s">
        <v>9</v>
      </c>
      <c r="H811" t="s">
        <v>67</v>
      </c>
    </row>
    <row r="812" spans="1:8" x14ac:dyDescent="0.3">
      <c r="A812" t="s">
        <v>48</v>
      </c>
      <c r="B812">
        <v>5</v>
      </c>
      <c r="C812" t="s">
        <v>44</v>
      </c>
      <c r="D812">
        <v>20.25</v>
      </c>
      <c r="E812">
        <v>2008</v>
      </c>
      <c r="G812" t="s">
        <v>9</v>
      </c>
      <c r="H812" t="s">
        <v>67</v>
      </c>
    </row>
    <row r="813" spans="1:8" x14ac:dyDescent="0.3">
      <c r="A813" t="s">
        <v>48</v>
      </c>
      <c r="B813">
        <v>5</v>
      </c>
      <c r="C813" t="s">
        <v>44</v>
      </c>
      <c r="E813">
        <v>2009</v>
      </c>
      <c r="G813" t="s">
        <v>9</v>
      </c>
      <c r="H813" t="s">
        <v>67</v>
      </c>
    </row>
    <row r="814" spans="1:8" x14ac:dyDescent="0.3">
      <c r="A814" t="s">
        <v>48</v>
      </c>
      <c r="B814">
        <v>5</v>
      </c>
      <c r="C814" t="s">
        <v>44</v>
      </c>
      <c r="D814">
        <v>65</v>
      </c>
      <c r="E814">
        <v>2010</v>
      </c>
      <c r="G814" t="s">
        <v>9</v>
      </c>
      <c r="H814" t="s">
        <v>67</v>
      </c>
    </row>
    <row r="815" spans="1:8" x14ac:dyDescent="0.3">
      <c r="A815" t="s">
        <v>48</v>
      </c>
      <c r="B815">
        <v>5</v>
      </c>
      <c r="C815" t="s">
        <v>44</v>
      </c>
      <c r="D815">
        <v>62.75</v>
      </c>
      <c r="E815">
        <v>2011</v>
      </c>
      <c r="G815" t="s">
        <v>9</v>
      </c>
      <c r="H815" t="s">
        <v>67</v>
      </c>
    </row>
    <row r="816" spans="1:8" x14ac:dyDescent="0.3">
      <c r="A816" t="s">
        <v>48</v>
      </c>
      <c r="B816">
        <v>5</v>
      </c>
      <c r="C816" t="s">
        <v>44</v>
      </c>
      <c r="D816">
        <v>77.75</v>
      </c>
      <c r="E816">
        <v>2012</v>
      </c>
      <c r="G816" t="s">
        <v>9</v>
      </c>
      <c r="H816" t="s">
        <v>67</v>
      </c>
    </row>
    <row r="817" spans="1:8" x14ac:dyDescent="0.3">
      <c r="A817" t="s">
        <v>48</v>
      </c>
      <c r="B817">
        <v>6</v>
      </c>
      <c r="C817" t="s">
        <v>45</v>
      </c>
      <c r="D817">
        <v>32</v>
      </c>
      <c r="E817">
        <v>2006</v>
      </c>
      <c r="G817" t="s">
        <v>9</v>
      </c>
      <c r="H817" t="s">
        <v>67</v>
      </c>
    </row>
    <row r="818" spans="1:8" x14ac:dyDescent="0.3">
      <c r="A818" t="s">
        <v>48</v>
      </c>
      <c r="B818">
        <v>6</v>
      </c>
      <c r="C818" t="s">
        <v>45</v>
      </c>
      <c r="D818">
        <v>42.25</v>
      </c>
      <c r="E818">
        <v>2007</v>
      </c>
      <c r="G818" t="s">
        <v>9</v>
      </c>
      <c r="H818" t="s">
        <v>67</v>
      </c>
    </row>
    <row r="819" spans="1:8" x14ac:dyDescent="0.3">
      <c r="A819" t="s">
        <v>48</v>
      </c>
      <c r="B819">
        <v>6</v>
      </c>
      <c r="C819" t="s">
        <v>45</v>
      </c>
      <c r="D819">
        <v>28.25</v>
      </c>
      <c r="E819">
        <v>2008</v>
      </c>
      <c r="G819" t="s">
        <v>9</v>
      </c>
      <c r="H819" t="s">
        <v>67</v>
      </c>
    </row>
    <row r="820" spans="1:8" x14ac:dyDescent="0.3">
      <c r="A820" t="s">
        <v>48</v>
      </c>
      <c r="B820">
        <v>6</v>
      </c>
      <c r="C820" t="s">
        <v>45</v>
      </c>
      <c r="E820">
        <v>2009</v>
      </c>
      <c r="G820" t="s">
        <v>9</v>
      </c>
      <c r="H820" t="s">
        <v>67</v>
      </c>
    </row>
    <row r="821" spans="1:8" x14ac:dyDescent="0.3">
      <c r="A821" t="s">
        <v>48</v>
      </c>
      <c r="B821">
        <v>6</v>
      </c>
      <c r="C821" t="s">
        <v>45</v>
      </c>
      <c r="D821">
        <v>31.75</v>
      </c>
      <c r="E821">
        <v>2010</v>
      </c>
      <c r="G821" t="s">
        <v>9</v>
      </c>
      <c r="H821" t="s">
        <v>67</v>
      </c>
    </row>
    <row r="822" spans="1:8" x14ac:dyDescent="0.3">
      <c r="A822" t="s">
        <v>48</v>
      </c>
      <c r="B822">
        <v>6</v>
      </c>
      <c r="C822" t="s">
        <v>45</v>
      </c>
      <c r="D822">
        <v>96</v>
      </c>
      <c r="E822">
        <v>2011</v>
      </c>
      <c r="G822" t="s">
        <v>9</v>
      </c>
      <c r="H822" t="s">
        <v>67</v>
      </c>
    </row>
    <row r="823" spans="1:8" x14ac:dyDescent="0.3">
      <c r="A823" t="s">
        <v>48</v>
      </c>
      <c r="B823">
        <v>6</v>
      </c>
      <c r="C823" t="s">
        <v>45</v>
      </c>
      <c r="D823">
        <v>43</v>
      </c>
      <c r="E823">
        <v>2012</v>
      </c>
      <c r="G823" t="s">
        <v>9</v>
      </c>
      <c r="H823" t="s">
        <v>67</v>
      </c>
    </row>
    <row r="824" spans="1:8" x14ac:dyDescent="0.3">
      <c r="A824" t="s">
        <v>48</v>
      </c>
      <c r="B824">
        <v>7</v>
      </c>
      <c r="C824" t="s">
        <v>46</v>
      </c>
      <c r="D824">
        <v>148.25</v>
      </c>
      <c r="E824">
        <v>2002</v>
      </c>
      <c r="G824" t="s">
        <v>9</v>
      </c>
      <c r="H824" t="s">
        <v>67</v>
      </c>
    </row>
    <row r="825" spans="1:8" x14ac:dyDescent="0.3">
      <c r="A825" t="s">
        <v>48</v>
      </c>
      <c r="B825">
        <v>7</v>
      </c>
      <c r="C825" t="s">
        <v>46</v>
      </c>
      <c r="D825">
        <v>34.5</v>
      </c>
      <c r="E825">
        <v>2003</v>
      </c>
      <c r="G825" t="s">
        <v>9</v>
      </c>
      <c r="H825" t="s">
        <v>67</v>
      </c>
    </row>
    <row r="826" spans="1:8" x14ac:dyDescent="0.3">
      <c r="A826" t="s">
        <v>48</v>
      </c>
      <c r="B826">
        <v>7</v>
      </c>
      <c r="C826" t="s">
        <v>46</v>
      </c>
      <c r="D826">
        <v>59.625</v>
      </c>
      <c r="E826">
        <v>2004</v>
      </c>
      <c r="G826" t="s">
        <v>9</v>
      </c>
      <c r="H826" t="s">
        <v>67</v>
      </c>
    </row>
    <row r="827" spans="1:8" x14ac:dyDescent="0.3">
      <c r="A827" t="s">
        <v>48</v>
      </c>
      <c r="B827">
        <v>7</v>
      </c>
      <c r="C827" t="s">
        <v>46</v>
      </c>
      <c r="D827">
        <v>51.375</v>
      </c>
      <c r="E827">
        <v>2005</v>
      </c>
      <c r="G827" t="s">
        <v>9</v>
      </c>
      <c r="H827" t="s">
        <v>67</v>
      </c>
    </row>
    <row r="828" spans="1:8" x14ac:dyDescent="0.3">
      <c r="A828" t="s">
        <v>48</v>
      </c>
      <c r="B828">
        <v>7</v>
      </c>
      <c r="C828" t="s">
        <v>46</v>
      </c>
      <c r="D828">
        <v>49.375</v>
      </c>
      <c r="E828">
        <v>2006</v>
      </c>
      <c r="G828" t="s">
        <v>9</v>
      </c>
      <c r="H828" t="s">
        <v>67</v>
      </c>
    </row>
    <row r="829" spans="1:8" x14ac:dyDescent="0.3">
      <c r="A829" t="s">
        <v>48</v>
      </c>
      <c r="B829">
        <v>7</v>
      </c>
      <c r="C829" t="s">
        <v>46</v>
      </c>
      <c r="D829">
        <v>34.0625</v>
      </c>
      <c r="E829">
        <v>2007</v>
      </c>
      <c r="G829" t="s">
        <v>9</v>
      </c>
      <c r="H829" t="s">
        <v>67</v>
      </c>
    </row>
    <row r="830" spans="1:8" x14ac:dyDescent="0.3">
      <c r="A830" t="s">
        <v>48</v>
      </c>
      <c r="B830">
        <v>7</v>
      </c>
      <c r="C830" t="s">
        <v>46</v>
      </c>
      <c r="D830">
        <v>18.5</v>
      </c>
      <c r="E830">
        <v>2008</v>
      </c>
      <c r="G830" t="s">
        <v>9</v>
      </c>
      <c r="H830" t="s">
        <v>67</v>
      </c>
    </row>
    <row r="831" spans="1:8" x14ac:dyDescent="0.3">
      <c r="A831" t="s">
        <v>48</v>
      </c>
      <c r="B831">
        <v>7</v>
      </c>
      <c r="C831" t="s">
        <v>46</v>
      </c>
      <c r="D831">
        <v>15.9375</v>
      </c>
      <c r="E831">
        <v>2009</v>
      </c>
      <c r="G831" t="s">
        <v>9</v>
      </c>
      <c r="H831" t="s">
        <v>67</v>
      </c>
    </row>
    <row r="832" spans="1:8" x14ac:dyDescent="0.3">
      <c r="A832" t="s">
        <v>48</v>
      </c>
      <c r="B832">
        <v>7</v>
      </c>
      <c r="C832" t="s">
        <v>46</v>
      </c>
      <c r="D832">
        <v>31.625</v>
      </c>
      <c r="E832">
        <v>2010</v>
      </c>
      <c r="G832" t="s">
        <v>9</v>
      </c>
      <c r="H832" t="s">
        <v>67</v>
      </c>
    </row>
    <row r="833" spans="1:8" x14ac:dyDescent="0.3">
      <c r="A833" t="s">
        <v>48</v>
      </c>
      <c r="B833">
        <v>7</v>
      </c>
      <c r="C833" t="s">
        <v>46</v>
      </c>
      <c r="D833">
        <v>41.5625</v>
      </c>
      <c r="E833">
        <v>2011</v>
      </c>
      <c r="G833" t="s">
        <v>9</v>
      </c>
      <c r="H833" t="s">
        <v>67</v>
      </c>
    </row>
    <row r="834" spans="1:8" x14ac:dyDescent="0.3">
      <c r="A834" t="s">
        <v>48</v>
      </c>
      <c r="B834">
        <v>7</v>
      </c>
      <c r="C834" t="s">
        <v>46</v>
      </c>
      <c r="D834">
        <v>38.5625</v>
      </c>
      <c r="E834">
        <v>2012</v>
      </c>
      <c r="G834" t="s">
        <v>9</v>
      </c>
      <c r="H834" t="s">
        <v>67</v>
      </c>
    </row>
    <row r="835" spans="1:8" x14ac:dyDescent="0.3">
      <c r="A835" t="s">
        <v>48</v>
      </c>
      <c r="B835">
        <v>8</v>
      </c>
      <c r="C835" t="s">
        <v>47</v>
      </c>
      <c r="D835">
        <v>17.875</v>
      </c>
      <c r="E835">
        <v>2006</v>
      </c>
      <c r="G835" t="s">
        <v>9</v>
      </c>
      <c r="H835" t="s">
        <v>67</v>
      </c>
    </row>
    <row r="836" spans="1:8" x14ac:dyDescent="0.3">
      <c r="A836" t="s">
        <v>48</v>
      </c>
      <c r="B836">
        <v>8</v>
      </c>
      <c r="C836" t="s">
        <v>47</v>
      </c>
      <c r="D836">
        <v>53</v>
      </c>
      <c r="E836">
        <v>2007</v>
      </c>
      <c r="G836" t="s">
        <v>9</v>
      </c>
      <c r="H836" t="s">
        <v>67</v>
      </c>
    </row>
    <row r="837" spans="1:8" x14ac:dyDescent="0.3">
      <c r="A837" t="s">
        <v>48</v>
      </c>
      <c r="B837">
        <v>8</v>
      </c>
      <c r="C837" t="s">
        <v>47</v>
      </c>
      <c r="D837">
        <v>24.25</v>
      </c>
      <c r="E837">
        <v>2008</v>
      </c>
      <c r="G837" t="s">
        <v>9</v>
      </c>
      <c r="H837" t="s">
        <v>67</v>
      </c>
    </row>
    <row r="838" spans="1:8" x14ac:dyDescent="0.3">
      <c r="A838" t="s">
        <v>48</v>
      </c>
      <c r="B838">
        <v>8</v>
      </c>
      <c r="C838" t="s">
        <v>47</v>
      </c>
      <c r="E838">
        <v>2009</v>
      </c>
      <c r="G838" t="s">
        <v>9</v>
      </c>
      <c r="H838" t="s">
        <v>67</v>
      </c>
    </row>
    <row r="839" spans="1:8" x14ac:dyDescent="0.3">
      <c r="A839" t="s">
        <v>48</v>
      </c>
      <c r="B839">
        <v>8</v>
      </c>
      <c r="C839" t="s">
        <v>47</v>
      </c>
      <c r="D839">
        <v>48.375</v>
      </c>
      <c r="E839">
        <v>2010</v>
      </c>
      <c r="G839" t="s">
        <v>9</v>
      </c>
      <c r="H839" t="s">
        <v>67</v>
      </c>
    </row>
    <row r="840" spans="1:8" x14ac:dyDescent="0.3">
      <c r="A840" t="s">
        <v>48</v>
      </c>
      <c r="B840">
        <v>8</v>
      </c>
      <c r="C840" t="s">
        <v>47</v>
      </c>
      <c r="D840">
        <v>79.375</v>
      </c>
      <c r="E840">
        <v>2011</v>
      </c>
      <c r="G840" t="s">
        <v>9</v>
      </c>
      <c r="H840" t="s">
        <v>67</v>
      </c>
    </row>
    <row r="841" spans="1:8" x14ac:dyDescent="0.3">
      <c r="A841" t="s">
        <v>48</v>
      </c>
      <c r="B841">
        <v>8</v>
      </c>
      <c r="C841" t="s">
        <v>47</v>
      </c>
      <c r="D841">
        <v>60.375</v>
      </c>
      <c r="E841">
        <v>2012</v>
      </c>
      <c r="G841" t="s">
        <v>9</v>
      </c>
      <c r="H841" t="s">
        <v>67</v>
      </c>
    </row>
    <row r="842" spans="1:8" x14ac:dyDescent="0.3">
      <c r="A842" t="s">
        <v>49</v>
      </c>
      <c r="B842">
        <v>1</v>
      </c>
      <c r="C842" t="s">
        <v>50</v>
      </c>
      <c r="D842">
        <v>3255</v>
      </c>
      <c r="E842">
        <v>2011</v>
      </c>
      <c r="G842" t="s">
        <v>68</v>
      </c>
      <c r="H842" t="s">
        <v>67</v>
      </c>
    </row>
    <row r="843" spans="1:8" x14ac:dyDescent="0.3">
      <c r="A843" t="s">
        <v>49</v>
      </c>
      <c r="B843">
        <v>1</v>
      </c>
      <c r="C843" t="s">
        <v>50</v>
      </c>
      <c r="E843">
        <v>2012</v>
      </c>
      <c r="G843" t="s">
        <v>68</v>
      </c>
      <c r="H843" t="s">
        <v>67</v>
      </c>
    </row>
    <row r="844" spans="1:8" x14ac:dyDescent="0.3">
      <c r="A844" t="s">
        <v>49</v>
      </c>
      <c r="B844">
        <v>1</v>
      </c>
      <c r="C844" t="s">
        <v>50</v>
      </c>
      <c r="E844">
        <v>2013</v>
      </c>
      <c r="G844" t="s">
        <v>68</v>
      </c>
      <c r="H844" t="s">
        <v>67</v>
      </c>
    </row>
    <row r="845" spans="1:8" x14ac:dyDescent="0.3">
      <c r="A845" t="s">
        <v>49</v>
      </c>
      <c r="B845">
        <v>1</v>
      </c>
      <c r="C845" t="s">
        <v>50</v>
      </c>
      <c r="E845">
        <v>2014</v>
      </c>
      <c r="G845" t="s">
        <v>68</v>
      </c>
      <c r="H845" t="s">
        <v>67</v>
      </c>
    </row>
    <row r="846" spans="1:8" x14ac:dyDescent="0.3">
      <c r="A846" t="s">
        <v>49</v>
      </c>
      <c r="B846">
        <v>1</v>
      </c>
      <c r="C846" t="s">
        <v>50</v>
      </c>
      <c r="D846">
        <v>0</v>
      </c>
      <c r="E846">
        <v>2015</v>
      </c>
      <c r="G846" t="s">
        <v>68</v>
      </c>
      <c r="H846" t="s">
        <v>67</v>
      </c>
    </row>
    <row r="847" spans="1:8" x14ac:dyDescent="0.3">
      <c r="A847" t="s">
        <v>49</v>
      </c>
      <c r="B847">
        <v>1</v>
      </c>
      <c r="C847" t="s">
        <v>50</v>
      </c>
      <c r="E847">
        <v>2016</v>
      </c>
      <c r="G847" t="s">
        <v>68</v>
      </c>
      <c r="H847" t="s">
        <v>67</v>
      </c>
    </row>
    <row r="848" spans="1:8" x14ac:dyDescent="0.3">
      <c r="A848" t="s">
        <v>49</v>
      </c>
      <c r="B848">
        <v>1</v>
      </c>
      <c r="C848" t="s">
        <v>50</v>
      </c>
      <c r="E848">
        <v>2017</v>
      </c>
      <c r="G848" t="s">
        <v>68</v>
      </c>
      <c r="H848" t="s">
        <v>67</v>
      </c>
    </row>
    <row r="849" spans="1:8" x14ac:dyDescent="0.3">
      <c r="A849" t="s">
        <v>49</v>
      </c>
      <c r="B849">
        <v>1</v>
      </c>
      <c r="C849" t="s">
        <v>50</v>
      </c>
      <c r="D849">
        <v>0</v>
      </c>
      <c r="E849">
        <v>2018</v>
      </c>
      <c r="G849" t="s">
        <v>68</v>
      </c>
      <c r="H849" t="s">
        <v>67</v>
      </c>
    </row>
    <row r="850" spans="1:8" x14ac:dyDescent="0.3">
      <c r="A850" t="s">
        <v>49</v>
      </c>
      <c r="B850">
        <v>2</v>
      </c>
      <c r="C850" t="s">
        <v>51</v>
      </c>
      <c r="D850">
        <v>3239</v>
      </c>
      <c r="E850">
        <v>2011</v>
      </c>
      <c r="G850" t="s">
        <v>68</v>
      </c>
      <c r="H850" t="s">
        <v>67</v>
      </c>
    </row>
    <row r="851" spans="1:8" x14ac:dyDescent="0.3">
      <c r="A851" t="s">
        <v>49</v>
      </c>
      <c r="B851">
        <v>2</v>
      </c>
      <c r="C851" t="s">
        <v>51</v>
      </c>
      <c r="E851">
        <v>2012</v>
      </c>
      <c r="G851" t="s">
        <v>68</v>
      </c>
      <c r="H851" t="s">
        <v>67</v>
      </c>
    </row>
    <row r="852" spans="1:8" x14ac:dyDescent="0.3">
      <c r="A852" t="s">
        <v>49</v>
      </c>
      <c r="B852">
        <v>2</v>
      </c>
      <c r="C852" t="s">
        <v>51</v>
      </c>
      <c r="E852">
        <v>2013</v>
      </c>
      <c r="G852" t="s">
        <v>68</v>
      </c>
      <c r="H852" t="s">
        <v>67</v>
      </c>
    </row>
    <row r="853" spans="1:8" x14ac:dyDescent="0.3">
      <c r="A853" t="s">
        <v>49</v>
      </c>
      <c r="B853">
        <v>2</v>
      </c>
      <c r="C853" t="s">
        <v>51</v>
      </c>
      <c r="E853">
        <v>2014</v>
      </c>
      <c r="G853" t="s">
        <v>68</v>
      </c>
      <c r="H853" t="s">
        <v>67</v>
      </c>
    </row>
    <row r="854" spans="1:8" x14ac:dyDescent="0.3">
      <c r="A854" t="s">
        <v>49</v>
      </c>
      <c r="B854">
        <v>2</v>
      </c>
      <c r="C854" t="s">
        <v>51</v>
      </c>
      <c r="D854">
        <v>705</v>
      </c>
      <c r="E854">
        <v>2015</v>
      </c>
      <c r="G854" t="s">
        <v>68</v>
      </c>
      <c r="H854" t="s">
        <v>67</v>
      </c>
    </row>
    <row r="855" spans="1:8" x14ac:dyDescent="0.3">
      <c r="A855" t="s">
        <v>49</v>
      </c>
      <c r="B855">
        <v>2</v>
      </c>
      <c r="C855" t="s">
        <v>51</v>
      </c>
      <c r="E855">
        <v>2016</v>
      </c>
      <c r="G855" t="s">
        <v>68</v>
      </c>
      <c r="H855" t="s">
        <v>67</v>
      </c>
    </row>
    <row r="856" spans="1:8" x14ac:dyDescent="0.3">
      <c r="A856" t="s">
        <v>49</v>
      </c>
      <c r="B856">
        <v>2</v>
      </c>
      <c r="C856" t="s">
        <v>51</v>
      </c>
      <c r="D856">
        <v>731</v>
      </c>
      <c r="E856">
        <v>2017</v>
      </c>
      <c r="G856" t="s">
        <v>68</v>
      </c>
      <c r="H856" t="s">
        <v>67</v>
      </c>
    </row>
    <row r="857" spans="1:8" x14ac:dyDescent="0.3">
      <c r="A857" t="s">
        <v>49</v>
      </c>
      <c r="B857">
        <v>2</v>
      </c>
      <c r="C857" t="s">
        <v>51</v>
      </c>
      <c r="D857">
        <v>509</v>
      </c>
      <c r="E857">
        <v>2018</v>
      </c>
      <c r="G857" t="s">
        <v>68</v>
      </c>
      <c r="H857" t="s">
        <v>67</v>
      </c>
    </row>
    <row r="858" spans="1:8" x14ac:dyDescent="0.3">
      <c r="A858" t="s">
        <v>49</v>
      </c>
      <c r="B858">
        <v>3</v>
      </c>
      <c r="C858" t="s">
        <v>52</v>
      </c>
      <c r="D858">
        <v>2708</v>
      </c>
      <c r="E858">
        <v>2011</v>
      </c>
      <c r="G858" t="s">
        <v>68</v>
      </c>
      <c r="H858" t="s">
        <v>67</v>
      </c>
    </row>
    <row r="859" spans="1:8" x14ac:dyDescent="0.3">
      <c r="A859" t="s">
        <v>49</v>
      </c>
      <c r="B859">
        <v>3</v>
      </c>
      <c r="C859" t="s">
        <v>52</v>
      </c>
      <c r="E859">
        <v>2012</v>
      </c>
      <c r="G859" t="s">
        <v>68</v>
      </c>
      <c r="H859" t="s">
        <v>67</v>
      </c>
    </row>
    <row r="860" spans="1:8" x14ac:dyDescent="0.3">
      <c r="A860" t="s">
        <v>49</v>
      </c>
      <c r="B860">
        <v>3</v>
      </c>
      <c r="C860" t="s">
        <v>52</v>
      </c>
      <c r="E860">
        <v>2013</v>
      </c>
      <c r="G860" t="s">
        <v>68</v>
      </c>
      <c r="H860" t="s">
        <v>67</v>
      </c>
    </row>
    <row r="861" spans="1:8" x14ac:dyDescent="0.3">
      <c r="A861" t="s">
        <v>49</v>
      </c>
      <c r="B861">
        <v>3</v>
      </c>
      <c r="C861" t="s">
        <v>52</v>
      </c>
      <c r="E861">
        <v>2014</v>
      </c>
      <c r="G861" t="s">
        <v>68</v>
      </c>
      <c r="H861" t="s">
        <v>67</v>
      </c>
    </row>
    <row r="862" spans="1:8" x14ac:dyDescent="0.3">
      <c r="A862" t="s">
        <v>49</v>
      </c>
      <c r="B862">
        <v>3</v>
      </c>
      <c r="C862" t="s">
        <v>52</v>
      </c>
      <c r="D862">
        <v>147</v>
      </c>
      <c r="E862">
        <v>2015</v>
      </c>
      <c r="G862" t="s">
        <v>68</v>
      </c>
      <c r="H862" t="s">
        <v>67</v>
      </c>
    </row>
    <row r="863" spans="1:8" x14ac:dyDescent="0.3">
      <c r="A863" t="s">
        <v>49</v>
      </c>
      <c r="B863">
        <v>3</v>
      </c>
      <c r="C863" t="s">
        <v>52</v>
      </c>
      <c r="E863">
        <v>2016</v>
      </c>
      <c r="G863" t="s">
        <v>68</v>
      </c>
      <c r="H863" t="s">
        <v>67</v>
      </c>
    </row>
    <row r="864" spans="1:8" x14ac:dyDescent="0.3">
      <c r="A864" t="s">
        <v>49</v>
      </c>
      <c r="B864">
        <v>3</v>
      </c>
      <c r="C864" t="s">
        <v>52</v>
      </c>
      <c r="D864">
        <v>164</v>
      </c>
      <c r="E864">
        <v>2017</v>
      </c>
      <c r="G864" t="s">
        <v>68</v>
      </c>
      <c r="H864" t="s">
        <v>67</v>
      </c>
    </row>
    <row r="865" spans="1:8" x14ac:dyDescent="0.3">
      <c r="A865" t="s">
        <v>49</v>
      </c>
      <c r="B865">
        <v>3</v>
      </c>
      <c r="C865" t="s">
        <v>52</v>
      </c>
      <c r="D865">
        <v>723</v>
      </c>
      <c r="E865">
        <v>2018</v>
      </c>
      <c r="G865" t="s">
        <v>68</v>
      </c>
      <c r="H865" t="s">
        <v>67</v>
      </c>
    </row>
    <row r="866" spans="1:8" x14ac:dyDescent="0.3">
      <c r="A866" t="s">
        <v>49</v>
      </c>
      <c r="B866">
        <v>4</v>
      </c>
      <c r="C866" t="s">
        <v>53</v>
      </c>
      <c r="D866">
        <v>1064</v>
      </c>
      <c r="E866">
        <v>1997</v>
      </c>
      <c r="G866" t="s">
        <v>68</v>
      </c>
      <c r="H866" t="s">
        <v>67</v>
      </c>
    </row>
    <row r="867" spans="1:8" x14ac:dyDescent="0.3">
      <c r="A867" t="s">
        <v>49</v>
      </c>
      <c r="B867">
        <v>4</v>
      </c>
      <c r="C867" t="s">
        <v>53</v>
      </c>
      <c r="E867">
        <v>1998</v>
      </c>
      <c r="G867" t="s">
        <v>68</v>
      </c>
      <c r="H867" t="s">
        <v>67</v>
      </c>
    </row>
    <row r="868" spans="1:8" x14ac:dyDescent="0.3">
      <c r="A868" t="s">
        <v>49</v>
      </c>
      <c r="B868">
        <v>4</v>
      </c>
      <c r="C868" t="s">
        <v>53</v>
      </c>
      <c r="E868">
        <v>1999</v>
      </c>
      <c r="G868" t="s">
        <v>68</v>
      </c>
      <c r="H868" t="s">
        <v>67</v>
      </c>
    </row>
    <row r="869" spans="1:8" x14ac:dyDescent="0.3">
      <c r="A869" t="s">
        <v>49</v>
      </c>
      <c r="B869">
        <v>4</v>
      </c>
      <c r="C869" t="s">
        <v>53</v>
      </c>
      <c r="E869">
        <v>2000</v>
      </c>
      <c r="G869" t="s">
        <v>68</v>
      </c>
      <c r="H869" t="s">
        <v>67</v>
      </c>
    </row>
    <row r="870" spans="1:8" x14ac:dyDescent="0.3">
      <c r="A870" t="s">
        <v>49</v>
      </c>
      <c r="B870">
        <v>4</v>
      </c>
      <c r="C870" t="s">
        <v>53</v>
      </c>
      <c r="E870">
        <v>2001</v>
      </c>
      <c r="G870" t="s">
        <v>68</v>
      </c>
      <c r="H870" t="s">
        <v>67</v>
      </c>
    </row>
    <row r="871" spans="1:8" x14ac:dyDescent="0.3">
      <c r="A871" t="s">
        <v>49</v>
      </c>
      <c r="B871">
        <v>4</v>
      </c>
      <c r="C871" t="s">
        <v>53</v>
      </c>
      <c r="E871">
        <v>2002</v>
      </c>
      <c r="G871" t="s">
        <v>68</v>
      </c>
      <c r="H871" t="s">
        <v>67</v>
      </c>
    </row>
    <row r="872" spans="1:8" x14ac:dyDescent="0.3">
      <c r="A872" t="s">
        <v>49</v>
      </c>
      <c r="B872">
        <v>4</v>
      </c>
      <c r="C872" t="s">
        <v>53</v>
      </c>
      <c r="E872">
        <v>2003</v>
      </c>
      <c r="G872" t="s">
        <v>68</v>
      </c>
      <c r="H872" t="s">
        <v>67</v>
      </c>
    </row>
    <row r="873" spans="1:8" x14ac:dyDescent="0.3">
      <c r="A873" t="s">
        <v>49</v>
      </c>
      <c r="B873">
        <v>4</v>
      </c>
      <c r="C873" t="s">
        <v>53</v>
      </c>
      <c r="E873">
        <v>2004</v>
      </c>
      <c r="G873" t="s">
        <v>68</v>
      </c>
      <c r="H873" t="s">
        <v>67</v>
      </c>
    </row>
    <row r="874" spans="1:8" x14ac:dyDescent="0.3">
      <c r="A874" t="s">
        <v>49</v>
      </c>
      <c r="B874">
        <v>4</v>
      </c>
      <c r="C874" t="s">
        <v>53</v>
      </c>
      <c r="E874">
        <v>2005</v>
      </c>
      <c r="G874" t="s">
        <v>68</v>
      </c>
      <c r="H874" t="s">
        <v>67</v>
      </c>
    </row>
    <row r="875" spans="1:8" x14ac:dyDescent="0.3">
      <c r="A875" t="s">
        <v>49</v>
      </c>
      <c r="B875">
        <v>4</v>
      </c>
      <c r="C875" t="s">
        <v>53</v>
      </c>
      <c r="E875">
        <v>2006</v>
      </c>
      <c r="G875" t="s">
        <v>68</v>
      </c>
      <c r="H875" t="s">
        <v>67</v>
      </c>
    </row>
    <row r="876" spans="1:8" x14ac:dyDescent="0.3">
      <c r="A876" t="s">
        <v>49</v>
      </c>
      <c r="B876">
        <v>4</v>
      </c>
      <c r="C876" t="s">
        <v>53</v>
      </c>
      <c r="E876">
        <v>2007</v>
      </c>
      <c r="G876" t="s">
        <v>68</v>
      </c>
      <c r="H876" t="s">
        <v>67</v>
      </c>
    </row>
    <row r="877" spans="1:8" x14ac:dyDescent="0.3">
      <c r="A877" t="s">
        <v>49</v>
      </c>
      <c r="B877">
        <v>4</v>
      </c>
      <c r="C877" t="s">
        <v>53</v>
      </c>
      <c r="E877">
        <v>2008</v>
      </c>
      <c r="G877" t="s">
        <v>68</v>
      </c>
      <c r="H877" t="s">
        <v>67</v>
      </c>
    </row>
    <row r="878" spans="1:8" x14ac:dyDescent="0.3">
      <c r="A878" t="s">
        <v>49</v>
      </c>
      <c r="B878">
        <v>4</v>
      </c>
      <c r="C878" t="s">
        <v>53</v>
      </c>
      <c r="E878">
        <v>2009</v>
      </c>
      <c r="G878" t="s">
        <v>68</v>
      </c>
      <c r="H878" t="s">
        <v>67</v>
      </c>
    </row>
    <row r="879" spans="1:8" x14ac:dyDescent="0.3">
      <c r="A879" t="s">
        <v>49</v>
      </c>
      <c r="B879">
        <v>4</v>
      </c>
      <c r="C879" t="s">
        <v>53</v>
      </c>
      <c r="E879">
        <v>2010</v>
      </c>
      <c r="G879" t="s">
        <v>68</v>
      </c>
      <c r="H879" t="s">
        <v>67</v>
      </c>
    </row>
    <row r="880" spans="1:8" x14ac:dyDescent="0.3">
      <c r="A880" t="s">
        <v>49</v>
      </c>
      <c r="B880">
        <v>4</v>
      </c>
      <c r="C880" t="s">
        <v>53</v>
      </c>
      <c r="E880">
        <v>2011</v>
      </c>
      <c r="G880" t="s">
        <v>68</v>
      </c>
      <c r="H880" t="s">
        <v>67</v>
      </c>
    </row>
    <row r="881" spans="1:8" x14ac:dyDescent="0.3">
      <c r="A881" t="s">
        <v>49</v>
      </c>
      <c r="B881">
        <v>4</v>
      </c>
      <c r="C881" t="s">
        <v>53</v>
      </c>
      <c r="E881">
        <v>2012</v>
      </c>
      <c r="G881" t="s">
        <v>68</v>
      </c>
      <c r="H881" t="s">
        <v>67</v>
      </c>
    </row>
    <row r="882" spans="1:8" x14ac:dyDescent="0.3">
      <c r="A882" t="s">
        <v>49</v>
      </c>
      <c r="B882">
        <v>4</v>
      </c>
      <c r="C882" t="s">
        <v>53</v>
      </c>
      <c r="E882">
        <v>2013</v>
      </c>
      <c r="G882" t="s">
        <v>68</v>
      </c>
      <c r="H882" t="s">
        <v>67</v>
      </c>
    </row>
    <row r="883" spans="1:8" x14ac:dyDescent="0.3">
      <c r="A883" t="s">
        <v>49</v>
      </c>
      <c r="B883">
        <v>4</v>
      </c>
      <c r="C883" t="s">
        <v>53</v>
      </c>
      <c r="E883">
        <v>2014</v>
      </c>
      <c r="G883" t="s">
        <v>68</v>
      </c>
      <c r="H883" t="s">
        <v>67</v>
      </c>
    </row>
    <row r="884" spans="1:8" x14ac:dyDescent="0.3">
      <c r="A884" t="s">
        <v>49</v>
      </c>
      <c r="B884">
        <v>4</v>
      </c>
      <c r="C884" t="s">
        <v>53</v>
      </c>
      <c r="D884">
        <v>0</v>
      </c>
      <c r="E884">
        <v>2015</v>
      </c>
      <c r="G884" t="s">
        <v>68</v>
      </c>
      <c r="H884" t="s">
        <v>67</v>
      </c>
    </row>
    <row r="885" spans="1:8" x14ac:dyDescent="0.3">
      <c r="A885" t="s">
        <v>49</v>
      </c>
      <c r="B885">
        <v>4</v>
      </c>
      <c r="C885" t="s">
        <v>53</v>
      </c>
      <c r="D885">
        <v>0</v>
      </c>
      <c r="E885">
        <v>2016</v>
      </c>
      <c r="G885" t="s">
        <v>68</v>
      </c>
      <c r="H885" t="s">
        <v>67</v>
      </c>
    </row>
    <row r="886" spans="1:8" x14ac:dyDescent="0.3">
      <c r="A886" t="s">
        <v>49</v>
      </c>
      <c r="B886">
        <v>4</v>
      </c>
      <c r="C886" t="s">
        <v>53</v>
      </c>
      <c r="D886">
        <v>0</v>
      </c>
      <c r="E886">
        <v>2017</v>
      </c>
      <c r="G886" t="s">
        <v>68</v>
      </c>
      <c r="H886" t="s">
        <v>67</v>
      </c>
    </row>
    <row r="887" spans="1:8" x14ac:dyDescent="0.3">
      <c r="A887" t="s">
        <v>49</v>
      </c>
      <c r="B887">
        <v>4</v>
      </c>
      <c r="C887" t="s">
        <v>53</v>
      </c>
      <c r="D887">
        <v>0</v>
      </c>
      <c r="E887">
        <v>2018</v>
      </c>
      <c r="G887" t="s">
        <v>68</v>
      </c>
      <c r="H887" t="s">
        <v>67</v>
      </c>
    </row>
    <row r="888" spans="1:8" x14ac:dyDescent="0.3">
      <c r="A888" t="s">
        <v>49</v>
      </c>
      <c r="B888">
        <v>5</v>
      </c>
      <c r="C888" t="s">
        <v>54</v>
      </c>
      <c r="D888">
        <v>1078</v>
      </c>
      <c r="E888">
        <v>1997</v>
      </c>
      <c r="G888" t="s">
        <v>68</v>
      </c>
      <c r="H888" t="s">
        <v>67</v>
      </c>
    </row>
    <row r="889" spans="1:8" x14ac:dyDescent="0.3">
      <c r="A889" t="s">
        <v>49</v>
      </c>
      <c r="B889">
        <v>5</v>
      </c>
      <c r="C889" t="s">
        <v>54</v>
      </c>
      <c r="E889">
        <v>1998</v>
      </c>
      <c r="G889" t="s">
        <v>68</v>
      </c>
      <c r="H889" t="s">
        <v>67</v>
      </c>
    </row>
    <row r="890" spans="1:8" x14ac:dyDescent="0.3">
      <c r="A890" t="s">
        <v>49</v>
      </c>
      <c r="B890">
        <v>5</v>
      </c>
      <c r="C890" t="s">
        <v>54</v>
      </c>
      <c r="E890">
        <v>1999</v>
      </c>
      <c r="G890" t="s">
        <v>68</v>
      </c>
      <c r="H890" t="s">
        <v>67</v>
      </c>
    </row>
    <row r="891" spans="1:8" x14ac:dyDescent="0.3">
      <c r="A891" t="s">
        <v>49</v>
      </c>
      <c r="B891">
        <v>5</v>
      </c>
      <c r="C891" t="s">
        <v>54</v>
      </c>
      <c r="E891">
        <v>2000</v>
      </c>
      <c r="G891" t="s">
        <v>68</v>
      </c>
      <c r="H891" t="s">
        <v>67</v>
      </c>
    </row>
    <row r="892" spans="1:8" x14ac:dyDescent="0.3">
      <c r="A892" t="s">
        <v>49</v>
      </c>
      <c r="B892">
        <v>5</v>
      </c>
      <c r="C892" t="s">
        <v>54</v>
      </c>
      <c r="E892">
        <v>2001</v>
      </c>
      <c r="G892" t="s">
        <v>68</v>
      </c>
      <c r="H892" t="s">
        <v>67</v>
      </c>
    </row>
    <row r="893" spans="1:8" x14ac:dyDescent="0.3">
      <c r="A893" t="s">
        <v>49</v>
      </c>
      <c r="B893">
        <v>5</v>
      </c>
      <c r="C893" t="s">
        <v>54</v>
      </c>
      <c r="E893">
        <v>2002</v>
      </c>
      <c r="G893" t="s">
        <v>68</v>
      </c>
      <c r="H893" t="s">
        <v>67</v>
      </c>
    </row>
    <row r="894" spans="1:8" x14ac:dyDescent="0.3">
      <c r="A894" t="s">
        <v>49</v>
      </c>
      <c r="B894">
        <v>5</v>
      </c>
      <c r="C894" t="s">
        <v>54</v>
      </c>
      <c r="E894">
        <v>2003</v>
      </c>
      <c r="G894" t="s">
        <v>68</v>
      </c>
      <c r="H894" t="s">
        <v>67</v>
      </c>
    </row>
    <row r="895" spans="1:8" x14ac:dyDescent="0.3">
      <c r="A895" t="s">
        <v>49</v>
      </c>
      <c r="B895">
        <v>5</v>
      </c>
      <c r="C895" t="s">
        <v>54</v>
      </c>
      <c r="E895">
        <v>2004</v>
      </c>
      <c r="G895" t="s">
        <v>68</v>
      </c>
      <c r="H895" t="s">
        <v>67</v>
      </c>
    </row>
    <row r="896" spans="1:8" x14ac:dyDescent="0.3">
      <c r="A896" t="s">
        <v>49</v>
      </c>
      <c r="B896">
        <v>5</v>
      </c>
      <c r="C896" t="s">
        <v>54</v>
      </c>
      <c r="E896">
        <v>2005</v>
      </c>
      <c r="G896" t="s">
        <v>68</v>
      </c>
      <c r="H896" t="s">
        <v>67</v>
      </c>
    </row>
    <row r="897" spans="1:8" x14ac:dyDescent="0.3">
      <c r="A897" t="s">
        <v>49</v>
      </c>
      <c r="B897">
        <v>5</v>
      </c>
      <c r="C897" t="s">
        <v>54</v>
      </c>
      <c r="E897">
        <v>2006</v>
      </c>
      <c r="G897" t="s">
        <v>68</v>
      </c>
      <c r="H897" t="s">
        <v>67</v>
      </c>
    </row>
    <row r="898" spans="1:8" x14ac:dyDescent="0.3">
      <c r="A898" t="s">
        <v>49</v>
      </c>
      <c r="B898">
        <v>5</v>
      </c>
      <c r="C898" t="s">
        <v>54</v>
      </c>
      <c r="E898">
        <v>2007</v>
      </c>
      <c r="G898" t="s">
        <v>68</v>
      </c>
      <c r="H898" t="s">
        <v>67</v>
      </c>
    </row>
    <row r="899" spans="1:8" x14ac:dyDescent="0.3">
      <c r="A899" t="s">
        <v>49</v>
      </c>
      <c r="B899">
        <v>5</v>
      </c>
      <c r="C899" t="s">
        <v>54</v>
      </c>
      <c r="E899">
        <v>2008</v>
      </c>
      <c r="G899" t="s">
        <v>68</v>
      </c>
      <c r="H899" t="s">
        <v>67</v>
      </c>
    </row>
    <row r="900" spans="1:8" x14ac:dyDescent="0.3">
      <c r="A900" t="s">
        <v>49</v>
      </c>
      <c r="B900">
        <v>5</v>
      </c>
      <c r="C900" t="s">
        <v>54</v>
      </c>
      <c r="E900">
        <v>2009</v>
      </c>
      <c r="G900" t="s">
        <v>68</v>
      </c>
      <c r="H900" t="s">
        <v>67</v>
      </c>
    </row>
    <row r="901" spans="1:8" x14ac:dyDescent="0.3">
      <c r="A901" t="s">
        <v>49</v>
      </c>
      <c r="B901">
        <v>5</v>
      </c>
      <c r="C901" t="s">
        <v>54</v>
      </c>
      <c r="E901">
        <v>2010</v>
      </c>
      <c r="G901" t="s">
        <v>68</v>
      </c>
      <c r="H901" t="s">
        <v>67</v>
      </c>
    </row>
    <row r="902" spans="1:8" x14ac:dyDescent="0.3">
      <c r="A902" t="s">
        <v>49</v>
      </c>
      <c r="B902">
        <v>5</v>
      </c>
      <c r="C902" t="s">
        <v>54</v>
      </c>
      <c r="E902">
        <v>2011</v>
      </c>
      <c r="G902" t="s">
        <v>68</v>
      </c>
      <c r="H902" t="s">
        <v>67</v>
      </c>
    </row>
    <row r="903" spans="1:8" x14ac:dyDescent="0.3">
      <c r="A903" t="s">
        <v>49</v>
      </c>
      <c r="B903">
        <v>5</v>
      </c>
      <c r="C903" t="s">
        <v>54</v>
      </c>
      <c r="E903">
        <v>2012</v>
      </c>
      <c r="G903" t="s">
        <v>68</v>
      </c>
      <c r="H903" t="s">
        <v>67</v>
      </c>
    </row>
    <row r="904" spans="1:8" x14ac:dyDescent="0.3">
      <c r="A904" t="s">
        <v>49</v>
      </c>
      <c r="B904">
        <v>5</v>
      </c>
      <c r="C904" t="s">
        <v>54</v>
      </c>
      <c r="E904">
        <v>2013</v>
      </c>
      <c r="G904" t="s">
        <v>68</v>
      </c>
      <c r="H904" t="s">
        <v>67</v>
      </c>
    </row>
    <row r="905" spans="1:8" x14ac:dyDescent="0.3">
      <c r="A905" t="s">
        <v>49</v>
      </c>
      <c r="B905">
        <v>5</v>
      </c>
      <c r="C905" t="s">
        <v>54</v>
      </c>
      <c r="E905">
        <v>2014</v>
      </c>
      <c r="G905" t="s">
        <v>68</v>
      </c>
      <c r="H905" t="s">
        <v>67</v>
      </c>
    </row>
    <row r="906" spans="1:8" x14ac:dyDescent="0.3">
      <c r="A906" t="s">
        <v>49</v>
      </c>
      <c r="B906">
        <v>5</v>
      </c>
      <c r="C906" t="s">
        <v>54</v>
      </c>
      <c r="D906">
        <v>2418</v>
      </c>
      <c r="E906">
        <v>2015</v>
      </c>
      <c r="G906" t="s">
        <v>68</v>
      </c>
      <c r="H906" t="s">
        <v>67</v>
      </c>
    </row>
    <row r="907" spans="1:8" x14ac:dyDescent="0.3">
      <c r="A907" t="s">
        <v>49</v>
      </c>
      <c r="B907">
        <v>5</v>
      </c>
      <c r="C907" t="s">
        <v>54</v>
      </c>
      <c r="D907">
        <v>1529</v>
      </c>
      <c r="E907">
        <v>2016</v>
      </c>
      <c r="G907" t="s">
        <v>68</v>
      </c>
      <c r="H907" t="s">
        <v>67</v>
      </c>
    </row>
    <row r="908" spans="1:8" x14ac:dyDescent="0.3">
      <c r="A908" t="s">
        <v>49</v>
      </c>
      <c r="B908">
        <v>5</v>
      </c>
      <c r="C908" t="s">
        <v>54</v>
      </c>
      <c r="D908">
        <v>55</v>
      </c>
      <c r="E908">
        <v>2017</v>
      </c>
      <c r="G908" t="s">
        <v>68</v>
      </c>
      <c r="H908" t="s">
        <v>67</v>
      </c>
    </row>
    <row r="909" spans="1:8" x14ac:dyDescent="0.3">
      <c r="A909" t="s">
        <v>49</v>
      </c>
      <c r="B909">
        <v>5</v>
      </c>
      <c r="C909" t="s">
        <v>54</v>
      </c>
      <c r="D909">
        <v>1</v>
      </c>
      <c r="E909">
        <v>2018</v>
      </c>
      <c r="G909" t="s">
        <v>68</v>
      </c>
      <c r="H909" t="s">
        <v>67</v>
      </c>
    </row>
    <row r="910" spans="1:8" x14ac:dyDescent="0.3">
      <c r="A910" t="s">
        <v>49</v>
      </c>
      <c r="B910">
        <v>6</v>
      </c>
      <c r="C910" t="s">
        <v>55</v>
      </c>
      <c r="D910">
        <v>2272</v>
      </c>
      <c r="E910">
        <v>2011</v>
      </c>
      <c r="G910" t="s">
        <v>68</v>
      </c>
      <c r="H910" t="s">
        <v>67</v>
      </c>
    </row>
    <row r="911" spans="1:8" x14ac:dyDescent="0.3">
      <c r="A911" t="s">
        <v>49</v>
      </c>
      <c r="B911">
        <v>6</v>
      </c>
      <c r="C911" t="s">
        <v>55</v>
      </c>
      <c r="E911">
        <v>2012</v>
      </c>
      <c r="G911" t="s">
        <v>68</v>
      </c>
      <c r="H911" t="s">
        <v>67</v>
      </c>
    </row>
    <row r="912" spans="1:8" x14ac:dyDescent="0.3">
      <c r="A912" t="s">
        <v>49</v>
      </c>
      <c r="B912">
        <v>6</v>
      </c>
      <c r="C912" t="s">
        <v>55</v>
      </c>
      <c r="E912">
        <v>2013</v>
      </c>
      <c r="G912" t="s">
        <v>68</v>
      </c>
      <c r="H912" t="s">
        <v>67</v>
      </c>
    </row>
    <row r="913" spans="1:8" x14ac:dyDescent="0.3">
      <c r="A913" t="s">
        <v>49</v>
      </c>
      <c r="B913">
        <v>6</v>
      </c>
      <c r="C913" t="s">
        <v>55</v>
      </c>
      <c r="E913">
        <v>2014</v>
      </c>
      <c r="G913" t="s">
        <v>68</v>
      </c>
      <c r="H913" t="s">
        <v>67</v>
      </c>
    </row>
    <row r="914" spans="1:8" x14ac:dyDescent="0.3">
      <c r="A914" t="s">
        <v>49</v>
      </c>
      <c r="B914">
        <v>6</v>
      </c>
      <c r="C914" t="s">
        <v>55</v>
      </c>
      <c r="D914">
        <v>0</v>
      </c>
      <c r="E914">
        <v>2015</v>
      </c>
      <c r="G914" t="s">
        <v>68</v>
      </c>
      <c r="H914" t="s">
        <v>67</v>
      </c>
    </row>
    <row r="915" spans="1:8" x14ac:dyDescent="0.3">
      <c r="A915" t="s">
        <v>49</v>
      </c>
      <c r="B915">
        <v>6</v>
      </c>
      <c r="C915" t="s">
        <v>55</v>
      </c>
      <c r="D915">
        <v>0</v>
      </c>
      <c r="E915">
        <v>2016</v>
      </c>
      <c r="G915" t="s">
        <v>68</v>
      </c>
      <c r="H915" t="s">
        <v>67</v>
      </c>
    </row>
    <row r="916" spans="1:8" x14ac:dyDescent="0.3">
      <c r="A916" t="s">
        <v>49</v>
      </c>
      <c r="B916">
        <v>6</v>
      </c>
      <c r="C916" t="s">
        <v>55</v>
      </c>
      <c r="D916">
        <v>0</v>
      </c>
      <c r="E916">
        <v>2017</v>
      </c>
      <c r="G916" t="s">
        <v>68</v>
      </c>
      <c r="H916" t="s">
        <v>67</v>
      </c>
    </row>
    <row r="917" spans="1:8" x14ac:dyDescent="0.3">
      <c r="A917" t="s">
        <v>49</v>
      </c>
      <c r="B917">
        <v>6</v>
      </c>
      <c r="C917" t="s">
        <v>55</v>
      </c>
      <c r="D917">
        <v>0</v>
      </c>
      <c r="E917">
        <v>2018</v>
      </c>
      <c r="G917" t="s">
        <v>68</v>
      </c>
      <c r="H917" t="s">
        <v>67</v>
      </c>
    </row>
    <row r="918" spans="1:8" x14ac:dyDescent="0.3">
      <c r="A918" t="s">
        <v>49</v>
      </c>
      <c r="B918">
        <v>7</v>
      </c>
      <c r="C918" t="s">
        <v>56</v>
      </c>
      <c r="D918">
        <v>4575</v>
      </c>
      <c r="E918">
        <v>2011</v>
      </c>
      <c r="G918" t="s">
        <v>68</v>
      </c>
      <c r="H918" t="s">
        <v>67</v>
      </c>
    </row>
    <row r="919" spans="1:8" x14ac:dyDescent="0.3">
      <c r="A919" t="s">
        <v>49</v>
      </c>
      <c r="B919">
        <v>7</v>
      </c>
      <c r="C919" t="s">
        <v>56</v>
      </c>
      <c r="E919">
        <v>2012</v>
      </c>
      <c r="G919" t="s">
        <v>68</v>
      </c>
      <c r="H919" t="s">
        <v>67</v>
      </c>
    </row>
    <row r="920" spans="1:8" x14ac:dyDescent="0.3">
      <c r="A920" t="s">
        <v>49</v>
      </c>
      <c r="B920">
        <v>7</v>
      </c>
      <c r="C920" t="s">
        <v>56</v>
      </c>
      <c r="E920">
        <v>2013</v>
      </c>
      <c r="G920" t="s">
        <v>68</v>
      </c>
      <c r="H920" t="s">
        <v>67</v>
      </c>
    </row>
    <row r="921" spans="1:8" x14ac:dyDescent="0.3">
      <c r="A921" t="s">
        <v>49</v>
      </c>
      <c r="B921">
        <v>7</v>
      </c>
      <c r="C921" t="s">
        <v>56</v>
      </c>
      <c r="E921">
        <v>2014</v>
      </c>
      <c r="G921" t="s">
        <v>68</v>
      </c>
      <c r="H921" t="s">
        <v>67</v>
      </c>
    </row>
    <row r="922" spans="1:8" x14ac:dyDescent="0.3">
      <c r="A922" t="s">
        <v>49</v>
      </c>
      <c r="B922">
        <v>7</v>
      </c>
      <c r="C922" t="s">
        <v>56</v>
      </c>
      <c r="D922">
        <v>1849</v>
      </c>
      <c r="E922">
        <v>2015</v>
      </c>
      <c r="G922" t="s">
        <v>68</v>
      </c>
      <c r="H922" t="s">
        <v>67</v>
      </c>
    </row>
    <row r="923" spans="1:8" x14ac:dyDescent="0.3">
      <c r="A923" t="s">
        <v>49</v>
      </c>
      <c r="B923">
        <v>7</v>
      </c>
      <c r="C923" t="s">
        <v>56</v>
      </c>
      <c r="E923">
        <v>2016</v>
      </c>
      <c r="G923" t="s">
        <v>68</v>
      </c>
      <c r="H923" t="s">
        <v>67</v>
      </c>
    </row>
    <row r="924" spans="1:8" x14ac:dyDescent="0.3">
      <c r="A924" t="s">
        <v>49</v>
      </c>
      <c r="B924">
        <v>7</v>
      </c>
      <c r="C924" t="s">
        <v>56</v>
      </c>
      <c r="D924">
        <v>1637</v>
      </c>
      <c r="E924">
        <v>2017</v>
      </c>
      <c r="G924" t="s">
        <v>68</v>
      </c>
      <c r="H924" t="s">
        <v>67</v>
      </c>
    </row>
    <row r="925" spans="1:8" x14ac:dyDescent="0.3">
      <c r="A925" t="s">
        <v>49</v>
      </c>
      <c r="B925">
        <v>7</v>
      </c>
      <c r="C925" t="s">
        <v>56</v>
      </c>
      <c r="D925">
        <v>5234</v>
      </c>
      <c r="E925">
        <v>2018</v>
      </c>
      <c r="G925" t="s">
        <v>68</v>
      </c>
      <c r="H925" t="s">
        <v>67</v>
      </c>
    </row>
    <row r="926" spans="1:8" x14ac:dyDescent="0.3">
      <c r="A926" t="s">
        <v>49</v>
      </c>
      <c r="B926">
        <v>8</v>
      </c>
      <c r="C926" t="s">
        <v>57</v>
      </c>
      <c r="D926">
        <v>0</v>
      </c>
      <c r="E926">
        <v>2015</v>
      </c>
      <c r="G926" t="s">
        <v>68</v>
      </c>
      <c r="H926" t="s">
        <v>67</v>
      </c>
    </row>
    <row r="927" spans="1:8" x14ac:dyDescent="0.3">
      <c r="A927" t="s">
        <v>49</v>
      </c>
      <c r="B927">
        <v>8</v>
      </c>
      <c r="C927" t="s">
        <v>57</v>
      </c>
      <c r="E927">
        <v>2016</v>
      </c>
      <c r="G927" t="s">
        <v>68</v>
      </c>
      <c r="H927" t="s">
        <v>67</v>
      </c>
    </row>
    <row r="928" spans="1:8" x14ac:dyDescent="0.3">
      <c r="A928" t="s">
        <v>49</v>
      </c>
      <c r="B928">
        <v>8</v>
      </c>
      <c r="C928" t="s">
        <v>57</v>
      </c>
      <c r="D928">
        <v>5</v>
      </c>
      <c r="E928">
        <v>2017</v>
      </c>
      <c r="G928" t="s">
        <v>68</v>
      </c>
      <c r="H928" t="s">
        <v>67</v>
      </c>
    </row>
    <row r="929" spans="1:8" x14ac:dyDescent="0.3">
      <c r="A929" t="s">
        <v>49</v>
      </c>
      <c r="B929">
        <v>8</v>
      </c>
      <c r="C929" t="s">
        <v>57</v>
      </c>
      <c r="D929">
        <v>42</v>
      </c>
      <c r="E929">
        <v>2018</v>
      </c>
      <c r="G929" t="s">
        <v>68</v>
      </c>
      <c r="H929" t="s">
        <v>67</v>
      </c>
    </row>
    <row r="930" spans="1:8" x14ac:dyDescent="0.3">
      <c r="A930" t="s">
        <v>58</v>
      </c>
      <c r="B930">
        <v>1</v>
      </c>
      <c r="D930">
        <v>100</v>
      </c>
      <c r="E930">
        <v>1963</v>
      </c>
      <c r="G930" t="s">
        <v>70</v>
      </c>
      <c r="H930" t="s">
        <v>67</v>
      </c>
    </row>
    <row r="931" spans="1:8" x14ac:dyDescent="0.3">
      <c r="A931" t="s">
        <v>58</v>
      </c>
      <c r="B931">
        <v>1</v>
      </c>
      <c r="E931">
        <v>1964</v>
      </c>
      <c r="G931" t="s">
        <v>70</v>
      </c>
      <c r="H931" t="s">
        <v>67</v>
      </c>
    </row>
    <row r="932" spans="1:8" x14ac:dyDescent="0.3">
      <c r="A932" t="s">
        <v>58</v>
      </c>
      <c r="B932">
        <v>1</v>
      </c>
      <c r="E932">
        <v>1965</v>
      </c>
      <c r="G932" t="s">
        <v>70</v>
      </c>
      <c r="H932" t="s">
        <v>67</v>
      </c>
    </row>
    <row r="933" spans="1:8" x14ac:dyDescent="0.3">
      <c r="A933" t="s">
        <v>58</v>
      </c>
      <c r="B933">
        <v>1</v>
      </c>
      <c r="D933">
        <v>220</v>
      </c>
      <c r="E933">
        <v>1966</v>
      </c>
      <c r="G933" t="s">
        <v>70</v>
      </c>
      <c r="H933" t="s">
        <v>67</v>
      </c>
    </row>
    <row r="934" spans="1:8" x14ac:dyDescent="0.3">
      <c r="A934" t="s">
        <v>58</v>
      </c>
      <c r="B934">
        <v>1</v>
      </c>
      <c r="E934">
        <v>1967</v>
      </c>
      <c r="G934" t="s">
        <v>70</v>
      </c>
      <c r="H934" t="s">
        <v>67</v>
      </c>
    </row>
    <row r="935" spans="1:8" x14ac:dyDescent="0.3">
      <c r="A935" t="s">
        <v>58</v>
      </c>
      <c r="B935">
        <v>1</v>
      </c>
      <c r="E935">
        <v>1968</v>
      </c>
      <c r="G935" t="s">
        <v>70</v>
      </c>
      <c r="H935" t="s">
        <v>67</v>
      </c>
    </row>
    <row r="936" spans="1:8" x14ac:dyDescent="0.3">
      <c r="A936" t="s">
        <v>58</v>
      </c>
      <c r="B936">
        <v>1</v>
      </c>
      <c r="D936">
        <v>300</v>
      </c>
      <c r="E936">
        <v>1969</v>
      </c>
      <c r="G936" t="s">
        <v>70</v>
      </c>
      <c r="H936" t="s">
        <v>67</v>
      </c>
    </row>
    <row r="937" spans="1:8" x14ac:dyDescent="0.3">
      <c r="A937" t="s">
        <v>58</v>
      </c>
      <c r="B937">
        <v>1</v>
      </c>
      <c r="E937">
        <v>1970</v>
      </c>
      <c r="G937" t="s">
        <v>70</v>
      </c>
      <c r="H937" t="s">
        <v>67</v>
      </c>
    </row>
    <row r="938" spans="1:8" x14ac:dyDescent="0.3">
      <c r="A938" t="s">
        <v>58</v>
      </c>
      <c r="B938">
        <v>1</v>
      </c>
      <c r="E938">
        <v>1971</v>
      </c>
      <c r="G938" t="s">
        <v>70</v>
      </c>
      <c r="H938" t="s">
        <v>67</v>
      </c>
    </row>
    <row r="939" spans="1:8" x14ac:dyDescent="0.3">
      <c r="A939" t="s">
        <v>58</v>
      </c>
      <c r="B939">
        <v>1</v>
      </c>
      <c r="E939">
        <v>1972</v>
      </c>
      <c r="G939" t="s">
        <v>70</v>
      </c>
      <c r="H939" t="s">
        <v>67</v>
      </c>
    </row>
    <row r="940" spans="1:8" x14ac:dyDescent="0.3">
      <c r="A940" t="s">
        <v>58</v>
      </c>
      <c r="B940">
        <v>1</v>
      </c>
      <c r="E940">
        <v>1973</v>
      </c>
      <c r="G940" t="s">
        <v>70</v>
      </c>
      <c r="H940" t="s">
        <v>67</v>
      </c>
    </row>
    <row r="941" spans="1:8" x14ac:dyDescent="0.3">
      <c r="A941" t="s">
        <v>58</v>
      </c>
      <c r="B941">
        <v>1</v>
      </c>
      <c r="E941">
        <v>1974</v>
      </c>
      <c r="G941" t="s">
        <v>70</v>
      </c>
      <c r="H941" t="s">
        <v>67</v>
      </c>
    </row>
    <row r="942" spans="1:8" x14ac:dyDescent="0.3">
      <c r="A942" t="s">
        <v>58</v>
      </c>
      <c r="B942">
        <v>1</v>
      </c>
      <c r="E942">
        <v>1975</v>
      </c>
      <c r="G942" t="s">
        <v>70</v>
      </c>
      <c r="H942" t="s">
        <v>67</v>
      </c>
    </row>
    <row r="943" spans="1:8" x14ac:dyDescent="0.3">
      <c r="A943" t="s">
        <v>58</v>
      </c>
      <c r="B943">
        <v>1</v>
      </c>
      <c r="D943">
        <v>315</v>
      </c>
      <c r="E943">
        <v>1976</v>
      </c>
      <c r="G943" t="s">
        <v>70</v>
      </c>
      <c r="H943" t="s">
        <v>67</v>
      </c>
    </row>
    <row r="944" spans="1:8" x14ac:dyDescent="0.3">
      <c r="A944" t="s">
        <v>58</v>
      </c>
      <c r="B944">
        <v>1</v>
      </c>
      <c r="D944">
        <v>204</v>
      </c>
      <c r="E944">
        <v>1977</v>
      </c>
      <c r="G944" t="s">
        <v>70</v>
      </c>
      <c r="H944" t="s">
        <v>67</v>
      </c>
    </row>
    <row r="945" spans="1:8" x14ac:dyDescent="0.3">
      <c r="A945" t="s">
        <v>58</v>
      </c>
      <c r="B945">
        <v>1</v>
      </c>
      <c r="D945">
        <v>380</v>
      </c>
      <c r="E945">
        <v>1978</v>
      </c>
      <c r="G945" t="s">
        <v>70</v>
      </c>
      <c r="H945" t="s">
        <v>67</v>
      </c>
    </row>
    <row r="946" spans="1:8" x14ac:dyDescent="0.3">
      <c r="A946" t="s">
        <v>58</v>
      </c>
      <c r="B946">
        <v>1</v>
      </c>
      <c r="D946">
        <v>482</v>
      </c>
      <c r="E946">
        <v>1979</v>
      </c>
      <c r="G946" t="s">
        <v>70</v>
      </c>
      <c r="H946" t="s">
        <v>67</v>
      </c>
    </row>
    <row r="947" spans="1:8" x14ac:dyDescent="0.3">
      <c r="A947" t="s">
        <v>58</v>
      </c>
      <c r="B947">
        <v>1</v>
      </c>
      <c r="D947">
        <v>450</v>
      </c>
      <c r="E947">
        <v>1980</v>
      </c>
      <c r="G947" t="s">
        <v>70</v>
      </c>
      <c r="H947" t="s">
        <v>67</v>
      </c>
    </row>
    <row r="948" spans="1:8" x14ac:dyDescent="0.3">
      <c r="A948" t="s">
        <v>58</v>
      </c>
      <c r="B948">
        <v>1</v>
      </c>
      <c r="D948">
        <v>310</v>
      </c>
      <c r="E948">
        <v>1981</v>
      </c>
      <c r="G948" t="s">
        <v>70</v>
      </c>
      <c r="H948" t="s">
        <v>67</v>
      </c>
    </row>
    <row r="949" spans="1:8" x14ac:dyDescent="0.3">
      <c r="A949" t="s">
        <v>58</v>
      </c>
      <c r="B949">
        <v>1</v>
      </c>
      <c r="D949">
        <v>370</v>
      </c>
      <c r="E949">
        <v>1982</v>
      </c>
      <c r="G949" t="s">
        <v>70</v>
      </c>
      <c r="H949" t="s">
        <v>67</v>
      </c>
    </row>
    <row r="950" spans="1:8" x14ac:dyDescent="0.3">
      <c r="A950" t="s">
        <v>58</v>
      </c>
      <c r="B950">
        <v>1</v>
      </c>
      <c r="D950">
        <v>260</v>
      </c>
      <c r="E950">
        <v>1983</v>
      </c>
      <c r="G950" t="s">
        <v>70</v>
      </c>
      <c r="H950" t="s">
        <v>67</v>
      </c>
    </row>
    <row r="951" spans="1:8" x14ac:dyDescent="0.3">
      <c r="A951" t="s">
        <v>58</v>
      </c>
      <c r="B951">
        <v>1</v>
      </c>
      <c r="D951">
        <v>180</v>
      </c>
      <c r="E951">
        <v>1984</v>
      </c>
      <c r="G951" t="s">
        <v>70</v>
      </c>
      <c r="H951" t="s">
        <v>67</v>
      </c>
    </row>
    <row r="952" spans="1:8" x14ac:dyDescent="0.3">
      <c r="A952" t="s">
        <v>58</v>
      </c>
      <c r="B952">
        <v>1</v>
      </c>
      <c r="D952">
        <v>300</v>
      </c>
      <c r="E952">
        <v>1985</v>
      </c>
      <c r="G952" t="s">
        <v>70</v>
      </c>
      <c r="H952" t="s">
        <v>67</v>
      </c>
    </row>
    <row r="953" spans="1:8" x14ac:dyDescent="0.3">
      <c r="A953" t="s">
        <v>58</v>
      </c>
      <c r="B953">
        <v>1</v>
      </c>
      <c r="D953">
        <v>278</v>
      </c>
      <c r="E953">
        <v>1986</v>
      </c>
      <c r="G953" t="s">
        <v>70</v>
      </c>
      <c r="H953" t="s">
        <v>67</v>
      </c>
    </row>
    <row r="954" spans="1:8" x14ac:dyDescent="0.3">
      <c r="A954" t="s">
        <v>58</v>
      </c>
      <c r="B954">
        <v>1</v>
      </c>
      <c r="D954">
        <v>178</v>
      </c>
      <c r="E954">
        <v>1987</v>
      </c>
      <c r="G954" t="s">
        <v>70</v>
      </c>
      <c r="H954" t="s">
        <v>67</v>
      </c>
    </row>
    <row r="955" spans="1:8" x14ac:dyDescent="0.3">
      <c r="A955" t="s">
        <v>58</v>
      </c>
      <c r="B955">
        <v>1</v>
      </c>
      <c r="D955">
        <v>90</v>
      </c>
      <c r="E955">
        <v>1988</v>
      </c>
      <c r="G955" t="s">
        <v>70</v>
      </c>
      <c r="H955" t="s">
        <v>67</v>
      </c>
    </row>
    <row r="956" spans="1:8" x14ac:dyDescent="0.3">
      <c r="A956" t="s">
        <v>58</v>
      </c>
      <c r="B956">
        <v>1</v>
      </c>
      <c r="D956">
        <v>120</v>
      </c>
      <c r="E956">
        <v>1989</v>
      </c>
      <c r="G956" t="s">
        <v>70</v>
      </c>
      <c r="H956" t="s">
        <v>67</v>
      </c>
    </row>
    <row r="957" spans="1:8" x14ac:dyDescent="0.3">
      <c r="A957" t="s">
        <v>58</v>
      </c>
      <c r="B957">
        <v>1</v>
      </c>
      <c r="D957">
        <v>110</v>
      </c>
      <c r="E957">
        <v>1990</v>
      </c>
      <c r="G957" t="s">
        <v>70</v>
      </c>
      <c r="H957" t="s">
        <v>67</v>
      </c>
    </row>
    <row r="958" spans="1:8" x14ac:dyDescent="0.3">
      <c r="A958" t="s">
        <v>58</v>
      </c>
      <c r="B958">
        <v>1</v>
      </c>
      <c r="E958">
        <v>1991</v>
      </c>
      <c r="G958" t="s">
        <v>70</v>
      </c>
      <c r="H958" t="s">
        <v>67</v>
      </c>
    </row>
    <row r="959" spans="1:8" x14ac:dyDescent="0.3">
      <c r="A959" t="s">
        <v>58</v>
      </c>
      <c r="B959">
        <v>1</v>
      </c>
      <c r="E959">
        <v>1992</v>
      </c>
      <c r="G959" t="s">
        <v>70</v>
      </c>
      <c r="H959" t="s">
        <v>67</v>
      </c>
    </row>
    <row r="960" spans="1:8" x14ac:dyDescent="0.3">
      <c r="A960" t="s">
        <v>58</v>
      </c>
      <c r="B960">
        <v>1</v>
      </c>
      <c r="E960">
        <v>1993</v>
      </c>
      <c r="G960" t="s">
        <v>70</v>
      </c>
      <c r="H960" t="s">
        <v>67</v>
      </c>
    </row>
    <row r="961" spans="1:8" x14ac:dyDescent="0.3">
      <c r="A961" t="s">
        <v>58</v>
      </c>
      <c r="B961">
        <v>1</v>
      </c>
      <c r="E961">
        <v>1994</v>
      </c>
      <c r="G961" t="s">
        <v>70</v>
      </c>
      <c r="H961" t="s">
        <v>67</v>
      </c>
    </row>
    <row r="962" spans="1:8" x14ac:dyDescent="0.3">
      <c r="A962" t="s">
        <v>58</v>
      </c>
      <c r="B962">
        <v>1</v>
      </c>
      <c r="D962">
        <v>130</v>
      </c>
      <c r="E962">
        <v>1995</v>
      </c>
      <c r="G962" t="s">
        <v>70</v>
      </c>
      <c r="H962" t="s">
        <v>67</v>
      </c>
    </row>
    <row r="963" spans="1:8" x14ac:dyDescent="0.3">
      <c r="A963" t="s">
        <v>58</v>
      </c>
      <c r="B963">
        <v>1</v>
      </c>
      <c r="E963">
        <v>1996</v>
      </c>
      <c r="G963" t="s">
        <v>70</v>
      </c>
      <c r="H963" t="s">
        <v>67</v>
      </c>
    </row>
    <row r="964" spans="1:8" x14ac:dyDescent="0.3">
      <c r="A964" t="s">
        <v>58</v>
      </c>
      <c r="B964">
        <v>1</v>
      </c>
      <c r="E964">
        <v>1997</v>
      </c>
      <c r="G964" t="s">
        <v>70</v>
      </c>
      <c r="H964" t="s">
        <v>67</v>
      </c>
    </row>
    <row r="965" spans="1:8" x14ac:dyDescent="0.3">
      <c r="A965" t="s">
        <v>58</v>
      </c>
      <c r="B965">
        <v>1</v>
      </c>
      <c r="E965">
        <v>1998</v>
      </c>
      <c r="G965" t="s">
        <v>70</v>
      </c>
      <c r="H965" t="s">
        <v>67</v>
      </c>
    </row>
    <row r="966" spans="1:8" x14ac:dyDescent="0.3">
      <c r="A966" t="s">
        <v>58</v>
      </c>
      <c r="B966">
        <v>1</v>
      </c>
      <c r="E966">
        <v>1999</v>
      </c>
      <c r="G966" t="s">
        <v>70</v>
      </c>
      <c r="H966" t="s">
        <v>67</v>
      </c>
    </row>
    <row r="967" spans="1:8" x14ac:dyDescent="0.3">
      <c r="A967" t="s">
        <v>58</v>
      </c>
      <c r="B967">
        <v>1</v>
      </c>
      <c r="E967">
        <v>2000</v>
      </c>
      <c r="G967" t="s">
        <v>70</v>
      </c>
      <c r="H967" t="s">
        <v>67</v>
      </c>
    </row>
    <row r="968" spans="1:8" x14ac:dyDescent="0.3">
      <c r="A968" t="s">
        <v>58</v>
      </c>
      <c r="B968">
        <v>1</v>
      </c>
      <c r="D968">
        <v>50</v>
      </c>
      <c r="E968">
        <v>2001</v>
      </c>
      <c r="G968" t="s">
        <v>70</v>
      </c>
      <c r="H968" t="s">
        <v>67</v>
      </c>
    </row>
    <row r="969" spans="1:8" x14ac:dyDescent="0.3">
      <c r="A969" t="s">
        <v>58</v>
      </c>
      <c r="B969">
        <v>1</v>
      </c>
      <c r="D969">
        <v>233</v>
      </c>
      <c r="E969">
        <v>2002</v>
      </c>
      <c r="G969" t="s">
        <v>70</v>
      </c>
      <c r="H969" t="s">
        <v>67</v>
      </c>
    </row>
    <row r="970" spans="1:8" x14ac:dyDescent="0.3">
      <c r="A970" t="s">
        <v>58</v>
      </c>
      <c r="B970">
        <v>1</v>
      </c>
      <c r="D970">
        <v>32</v>
      </c>
      <c r="E970">
        <v>2003</v>
      </c>
      <c r="G970" t="s">
        <v>70</v>
      </c>
      <c r="H970" t="s">
        <v>67</v>
      </c>
    </row>
    <row r="971" spans="1:8" x14ac:dyDescent="0.3">
      <c r="A971" t="s">
        <v>58</v>
      </c>
      <c r="B971">
        <v>1</v>
      </c>
      <c r="D971">
        <v>4</v>
      </c>
      <c r="E971">
        <v>2004</v>
      </c>
      <c r="G971" t="s">
        <v>70</v>
      </c>
      <c r="H971" t="s">
        <v>67</v>
      </c>
    </row>
    <row r="972" spans="1:8" x14ac:dyDescent="0.3">
      <c r="A972" t="s">
        <v>58</v>
      </c>
      <c r="B972">
        <v>1</v>
      </c>
      <c r="D972">
        <v>4.5</v>
      </c>
      <c r="E972">
        <v>2005</v>
      </c>
      <c r="G972" t="s">
        <v>70</v>
      </c>
      <c r="H972" t="s">
        <v>67</v>
      </c>
    </row>
    <row r="973" spans="1:8" x14ac:dyDescent="0.3">
      <c r="A973" t="s">
        <v>58</v>
      </c>
      <c r="B973">
        <v>1</v>
      </c>
      <c r="D973">
        <v>1.2</v>
      </c>
      <c r="E973">
        <v>2006</v>
      </c>
      <c r="G973" t="s">
        <v>70</v>
      </c>
      <c r="H973" t="s">
        <v>67</v>
      </c>
    </row>
    <row r="974" spans="1:8" x14ac:dyDescent="0.3">
      <c r="A974" t="s">
        <v>58</v>
      </c>
      <c r="B974">
        <v>1</v>
      </c>
      <c r="D974">
        <v>0.3</v>
      </c>
      <c r="E974">
        <v>2007</v>
      </c>
      <c r="G974" t="s">
        <v>70</v>
      </c>
      <c r="H974" t="s">
        <v>67</v>
      </c>
    </row>
    <row r="975" spans="1:8" x14ac:dyDescent="0.3">
      <c r="A975" t="s">
        <v>59</v>
      </c>
      <c r="B975">
        <v>1</v>
      </c>
      <c r="D975">
        <v>1205</v>
      </c>
      <c r="E975">
        <v>2001</v>
      </c>
      <c r="G975" t="s">
        <v>70</v>
      </c>
      <c r="H975" t="s">
        <v>67</v>
      </c>
    </row>
    <row r="976" spans="1:8" x14ac:dyDescent="0.3">
      <c r="A976" t="s">
        <v>59</v>
      </c>
      <c r="B976">
        <v>1</v>
      </c>
      <c r="D976">
        <v>24</v>
      </c>
      <c r="E976">
        <v>2002</v>
      </c>
      <c r="G976" t="s">
        <v>70</v>
      </c>
      <c r="H976" t="s">
        <v>67</v>
      </c>
    </row>
    <row r="977" spans="1:8" x14ac:dyDescent="0.3">
      <c r="A977" t="s">
        <v>59</v>
      </c>
      <c r="B977">
        <v>1</v>
      </c>
      <c r="D977">
        <v>12</v>
      </c>
      <c r="E977">
        <v>2003</v>
      </c>
      <c r="G977" t="s">
        <v>70</v>
      </c>
      <c r="H977" t="s">
        <v>67</v>
      </c>
    </row>
    <row r="978" spans="1:8" x14ac:dyDescent="0.3">
      <c r="A978" t="s">
        <v>59</v>
      </c>
      <c r="B978">
        <v>1</v>
      </c>
      <c r="D978">
        <v>7</v>
      </c>
      <c r="E978">
        <v>2004</v>
      </c>
      <c r="G978" t="s">
        <v>70</v>
      </c>
      <c r="H978" t="s">
        <v>67</v>
      </c>
    </row>
    <row r="979" spans="1:8" x14ac:dyDescent="0.3">
      <c r="A979" t="s">
        <v>59</v>
      </c>
      <c r="B979">
        <v>1</v>
      </c>
      <c r="D979">
        <v>345</v>
      </c>
      <c r="E979">
        <v>2005</v>
      </c>
      <c r="G979" t="s">
        <v>70</v>
      </c>
      <c r="H979" t="s">
        <v>67</v>
      </c>
    </row>
    <row r="980" spans="1:8" x14ac:dyDescent="0.3">
      <c r="A980" t="s">
        <v>59</v>
      </c>
      <c r="B980">
        <v>1</v>
      </c>
      <c r="D980">
        <v>54.5</v>
      </c>
      <c r="E980">
        <v>2006</v>
      </c>
      <c r="G980" t="s">
        <v>70</v>
      </c>
      <c r="H980" t="s">
        <v>67</v>
      </c>
    </row>
    <row r="981" spans="1:8" x14ac:dyDescent="0.3">
      <c r="A981" t="s">
        <v>59</v>
      </c>
      <c r="B981">
        <v>1</v>
      </c>
      <c r="D981">
        <v>85.6</v>
      </c>
      <c r="E981">
        <v>2007</v>
      </c>
      <c r="G981" t="s">
        <v>70</v>
      </c>
      <c r="H981" t="s">
        <v>67</v>
      </c>
    </row>
    <row r="982" spans="1:8" x14ac:dyDescent="0.3">
      <c r="A982" t="s">
        <v>59</v>
      </c>
      <c r="B982">
        <v>1</v>
      </c>
      <c r="D982">
        <v>20</v>
      </c>
      <c r="E982">
        <v>2008</v>
      </c>
      <c r="G982" t="s">
        <v>70</v>
      </c>
      <c r="H982" t="s">
        <v>67</v>
      </c>
    </row>
    <row r="983" spans="1:8" x14ac:dyDescent="0.3">
      <c r="A983" t="s">
        <v>59</v>
      </c>
      <c r="B983">
        <v>1</v>
      </c>
      <c r="D983">
        <v>312</v>
      </c>
      <c r="E983">
        <v>2009</v>
      </c>
      <c r="G983" t="s">
        <v>70</v>
      </c>
      <c r="H983" t="s">
        <v>67</v>
      </c>
    </row>
    <row r="984" spans="1:8" x14ac:dyDescent="0.3">
      <c r="A984" t="s">
        <v>60</v>
      </c>
      <c r="B984">
        <v>1</v>
      </c>
      <c r="D984">
        <v>0.05</v>
      </c>
      <c r="E984">
        <v>2002</v>
      </c>
      <c r="G984" t="s">
        <v>70</v>
      </c>
      <c r="H984" t="s">
        <v>67</v>
      </c>
    </row>
    <row r="985" spans="1:8" x14ac:dyDescent="0.3">
      <c r="A985" t="s">
        <v>60</v>
      </c>
      <c r="B985">
        <v>1</v>
      </c>
      <c r="D985">
        <v>1.9</v>
      </c>
      <c r="E985">
        <v>2003</v>
      </c>
      <c r="G985" t="s">
        <v>70</v>
      </c>
      <c r="H985" t="s">
        <v>67</v>
      </c>
    </row>
    <row r="986" spans="1:8" x14ac:dyDescent="0.3">
      <c r="A986" t="s">
        <v>60</v>
      </c>
      <c r="B986">
        <v>1</v>
      </c>
      <c r="D986">
        <v>1.5</v>
      </c>
      <c r="E986">
        <v>2004</v>
      </c>
      <c r="G986" t="s">
        <v>70</v>
      </c>
      <c r="H986" t="s">
        <v>67</v>
      </c>
    </row>
    <row r="987" spans="1:8" x14ac:dyDescent="0.3">
      <c r="A987" t="s">
        <v>60</v>
      </c>
      <c r="B987">
        <v>1</v>
      </c>
      <c r="D987">
        <v>0.1</v>
      </c>
      <c r="E987">
        <v>2005</v>
      </c>
      <c r="G987" t="s">
        <v>70</v>
      </c>
      <c r="H987" t="s">
        <v>67</v>
      </c>
    </row>
    <row r="988" spans="1:8" x14ac:dyDescent="0.3">
      <c r="A988" t="s">
        <v>61</v>
      </c>
      <c r="B988">
        <v>1</v>
      </c>
      <c r="D988">
        <v>25.5</v>
      </c>
      <c r="E988">
        <v>2006</v>
      </c>
      <c r="G988" t="s">
        <v>70</v>
      </c>
      <c r="H988" t="s">
        <v>67</v>
      </c>
    </row>
    <row r="989" spans="1:8" x14ac:dyDescent="0.3">
      <c r="A989" t="s">
        <v>61</v>
      </c>
      <c r="B989">
        <v>1</v>
      </c>
      <c r="D989">
        <v>34</v>
      </c>
      <c r="E989">
        <v>2007</v>
      </c>
      <c r="G989" t="s">
        <v>70</v>
      </c>
      <c r="H989" t="s">
        <v>67</v>
      </c>
    </row>
    <row r="990" spans="1:8" x14ac:dyDescent="0.3">
      <c r="A990" t="s">
        <v>61</v>
      </c>
      <c r="B990">
        <v>1</v>
      </c>
      <c r="D990">
        <v>18.399999999999999</v>
      </c>
      <c r="E990">
        <v>2008</v>
      </c>
      <c r="G990" t="s">
        <v>70</v>
      </c>
      <c r="H990" t="s">
        <v>67</v>
      </c>
    </row>
    <row r="991" spans="1:8" x14ac:dyDescent="0.3">
      <c r="A991" t="s">
        <v>62</v>
      </c>
      <c r="B991">
        <v>1</v>
      </c>
      <c r="C991" t="s">
        <v>63</v>
      </c>
      <c r="D991">
        <v>25</v>
      </c>
      <c r="E991">
        <v>1911</v>
      </c>
      <c r="G991" t="s">
        <v>71</v>
      </c>
      <c r="H991" t="s">
        <v>67</v>
      </c>
    </row>
    <row r="992" spans="1:8" x14ac:dyDescent="0.3">
      <c r="A992" t="s">
        <v>62</v>
      </c>
      <c r="B992">
        <v>1</v>
      </c>
      <c r="C992" t="s">
        <v>63</v>
      </c>
      <c r="D992">
        <v>40</v>
      </c>
      <c r="E992">
        <v>1912</v>
      </c>
      <c r="G992" t="s">
        <v>71</v>
      </c>
      <c r="H992" t="s">
        <v>67</v>
      </c>
    </row>
    <row r="993" spans="1:8" x14ac:dyDescent="0.3">
      <c r="A993" t="s">
        <v>62</v>
      </c>
      <c r="B993">
        <v>1</v>
      </c>
      <c r="C993" t="s">
        <v>63</v>
      </c>
      <c r="D993">
        <v>52</v>
      </c>
      <c r="E993">
        <v>1913</v>
      </c>
      <c r="G993" t="s">
        <v>71</v>
      </c>
      <c r="H993" t="s">
        <v>67</v>
      </c>
    </row>
    <row r="994" spans="1:8" x14ac:dyDescent="0.3">
      <c r="A994" t="s">
        <v>62</v>
      </c>
      <c r="B994">
        <v>1</v>
      </c>
      <c r="C994" t="s">
        <v>63</v>
      </c>
      <c r="D994">
        <v>75</v>
      </c>
      <c r="E994">
        <v>1914</v>
      </c>
      <c r="G994" t="s">
        <v>71</v>
      </c>
      <c r="H994" t="s">
        <v>67</v>
      </c>
    </row>
    <row r="995" spans="1:8" x14ac:dyDescent="0.3">
      <c r="A995" t="s">
        <v>62</v>
      </c>
      <c r="B995">
        <v>1</v>
      </c>
      <c r="C995" t="s">
        <v>63</v>
      </c>
      <c r="D995">
        <v>92</v>
      </c>
      <c r="E995">
        <v>1915</v>
      </c>
      <c r="G995" t="s">
        <v>71</v>
      </c>
      <c r="H995" t="s">
        <v>67</v>
      </c>
    </row>
    <row r="996" spans="1:8" x14ac:dyDescent="0.3">
      <c r="A996" t="s">
        <v>62</v>
      </c>
      <c r="B996">
        <v>1</v>
      </c>
      <c r="C996" t="s">
        <v>63</v>
      </c>
      <c r="D996">
        <v>111</v>
      </c>
      <c r="E996">
        <v>1916</v>
      </c>
      <c r="G996" t="s">
        <v>71</v>
      </c>
      <c r="H996" t="s">
        <v>67</v>
      </c>
    </row>
    <row r="997" spans="1:8" x14ac:dyDescent="0.3">
      <c r="A997" t="s">
        <v>62</v>
      </c>
      <c r="B997">
        <v>1</v>
      </c>
      <c r="C997" t="s">
        <v>63</v>
      </c>
      <c r="D997">
        <v>144</v>
      </c>
      <c r="E997">
        <v>1917</v>
      </c>
      <c r="G997" t="s">
        <v>71</v>
      </c>
      <c r="H997" t="s">
        <v>67</v>
      </c>
    </row>
    <row r="998" spans="1:8" x14ac:dyDescent="0.3">
      <c r="A998" t="s">
        <v>62</v>
      </c>
      <c r="B998">
        <v>1</v>
      </c>
      <c r="C998" t="s">
        <v>63</v>
      </c>
      <c r="D998">
        <v>155</v>
      </c>
      <c r="E998">
        <v>1918</v>
      </c>
      <c r="G998" t="s">
        <v>71</v>
      </c>
      <c r="H998" t="s">
        <v>67</v>
      </c>
    </row>
    <row r="999" spans="1:8" x14ac:dyDescent="0.3">
      <c r="A999" t="s">
        <v>62</v>
      </c>
      <c r="B999">
        <v>1</v>
      </c>
      <c r="C999" t="s">
        <v>63</v>
      </c>
      <c r="D999">
        <v>164</v>
      </c>
      <c r="E999">
        <v>1919</v>
      </c>
      <c r="G999" t="s">
        <v>71</v>
      </c>
      <c r="H999" t="s">
        <v>67</v>
      </c>
    </row>
    <row r="1000" spans="1:8" x14ac:dyDescent="0.3">
      <c r="A1000" t="s">
        <v>62</v>
      </c>
      <c r="B1000">
        <v>1</v>
      </c>
      <c r="C1000" t="s">
        <v>63</v>
      </c>
      <c r="D1000">
        <v>192</v>
      </c>
      <c r="E1000">
        <v>1920</v>
      </c>
      <c r="G1000" t="s">
        <v>71</v>
      </c>
      <c r="H1000" t="s">
        <v>67</v>
      </c>
    </row>
    <row r="1001" spans="1:8" x14ac:dyDescent="0.3">
      <c r="A1001" t="s">
        <v>62</v>
      </c>
      <c r="B1001">
        <v>1</v>
      </c>
      <c r="C1001" t="s">
        <v>63</v>
      </c>
      <c r="D1001">
        <v>250</v>
      </c>
      <c r="E1001">
        <v>1921</v>
      </c>
      <c r="G1001" t="s">
        <v>71</v>
      </c>
      <c r="H1001" t="s">
        <v>67</v>
      </c>
    </row>
    <row r="1002" spans="1:8" x14ac:dyDescent="0.3">
      <c r="A1002" t="s">
        <v>62</v>
      </c>
      <c r="B1002">
        <v>1</v>
      </c>
      <c r="C1002" t="s">
        <v>63</v>
      </c>
      <c r="D1002">
        <v>190</v>
      </c>
      <c r="E1002">
        <v>1922</v>
      </c>
      <c r="G1002" t="s">
        <v>71</v>
      </c>
      <c r="H1002" t="s">
        <v>67</v>
      </c>
    </row>
    <row r="1003" spans="1:8" x14ac:dyDescent="0.3">
      <c r="A1003" t="s">
        <v>62</v>
      </c>
      <c r="B1003">
        <v>1</v>
      </c>
      <c r="C1003" t="s">
        <v>63</v>
      </c>
      <c r="D1003">
        <v>150</v>
      </c>
      <c r="E1003">
        <v>1923</v>
      </c>
      <c r="G1003" t="s">
        <v>71</v>
      </c>
      <c r="H1003" t="s">
        <v>67</v>
      </c>
    </row>
    <row r="1004" spans="1:8" x14ac:dyDescent="0.3">
      <c r="A1004" t="s">
        <v>62</v>
      </c>
      <c r="B1004">
        <v>1</v>
      </c>
      <c r="C1004" t="s">
        <v>63</v>
      </c>
      <c r="D1004">
        <v>200</v>
      </c>
      <c r="E1004">
        <v>1924</v>
      </c>
      <c r="G1004" t="s">
        <v>71</v>
      </c>
      <c r="H1004" t="s">
        <v>67</v>
      </c>
    </row>
    <row r="1005" spans="1:8" x14ac:dyDescent="0.3">
      <c r="A1005" t="s">
        <v>62</v>
      </c>
      <c r="B1005">
        <v>1</v>
      </c>
      <c r="C1005" t="s">
        <v>63</v>
      </c>
      <c r="D1005">
        <v>225</v>
      </c>
      <c r="E1005">
        <v>1925</v>
      </c>
      <c r="G1005" t="s">
        <v>71</v>
      </c>
      <c r="H1005" t="s">
        <v>67</v>
      </c>
    </row>
    <row r="1006" spans="1:8" x14ac:dyDescent="0.3">
      <c r="A1006" t="s">
        <v>62</v>
      </c>
      <c r="B1006">
        <v>1</v>
      </c>
      <c r="C1006" t="s">
        <v>63</v>
      </c>
      <c r="D1006">
        <v>250</v>
      </c>
      <c r="E1006">
        <v>1926</v>
      </c>
      <c r="G1006" t="s">
        <v>71</v>
      </c>
      <c r="H1006" t="s">
        <v>67</v>
      </c>
    </row>
    <row r="1007" spans="1:8" x14ac:dyDescent="0.3">
      <c r="A1007" t="s">
        <v>62</v>
      </c>
      <c r="B1007">
        <v>1</v>
      </c>
      <c r="C1007" t="s">
        <v>63</v>
      </c>
      <c r="D1007">
        <v>250</v>
      </c>
      <c r="E1007">
        <v>1927</v>
      </c>
      <c r="G1007" t="s">
        <v>71</v>
      </c>
      <c r="H1007" t="s">
        <v>67</v>
      </c>
    </row>
    <row r="1008" spans="1:8" x14ac:dyDescent="0.3">
      <c r="A1008" t="s">
        <v>62</v>
      </c>
      <c r="B1008">
        <v>1</v>
      </c>
      <c r="C1008" t="s">
        <v>63</v>
      </c>
      <c r="D1008">
        <v>315</v>
      </c>
      <c r="E1008">
        <v>1928</v>
      </c>
      <c r="G1008" t="s">
        <v>71</v>
      </c>
      <c r="H1008" t="s">
        <v>67</v>
      </c>
    </row>
    <row r="1009" spans="1:8" x14ac:dyDescent="0.3">
      <c r="A1009" t="s">
        <v>62</v>
      </c>
      <c r="B1009">
        <v>1</v>
      </c>
      <c r="C1009" t="s">
        <v>63</v>
      </c>
      <c r="D1009">
        <v>329</v>
      </c>
      <c r="E1009">
        <v>1929</v>
      </c>
      <c r="G1009" t="s">
        <v>71</v>
      </c>
      <c r="H1009" t="s">
        <v>67</v>
      </c>
    </row>
    <row r="1010" spans="1:8" x14ac:dyDescent="0.3">
      <c r="A1010" t="s">
        <v>62</v>
      </c>
      <c r="B1010">
        <v>1</v>
      </c>
      <c r="C1010" t="s">
        <v>63</v>
      </c>
      <c r="D1010">
        <v>404</v>
      </c>
      <c r="E1010">
        <v>1930</v>
      </c>
      <c r="G1010" t="s">
        <v>71</v>
      </c>
      <c r="H1010" t="s">
        <v>67</v>
      </c>
    </row>
    <row r="1011" spans="1:8" x14ac:dyDescent="0.3">
      <c r="A1011" t="s">
        <v>62</v>
      </c>
      <c r="B1011">
        <v>1</v>
      </c>
      <c r="C1011" t="s">
        <v>63</v>
      </c>
      <c r="D1011">
        <v>453</v>
      </c>
      <c r="E1011">
        <v>1931</v>
      </c>
      <c r="G1011" t="s">
        <v>71</v>
      </c>
      <c r="H1011" t="s">
        <v>67</v>
      </c>
    </row>
    <row r="1012" spans="1:8" x14ac:dyDescent="0.3">
      <c r="A1012" t="s">
        <v>62</v>
      </c>
      <c r="B1012">
        <v>1</v>
      </c>
      <c r="C1012" t="s">
        <v>63</v>
      </c>
      <c r="D1012">
        <v>485</v>
      </c>
      <c r="E1012">
        <v>1932</v>
      </c>
      <c r="G1012" t="s">
        <v>71</v>
      </c>
      <c r="H1012" t="s">
        <v>67</v>
      </c>
    </row>
    <row r="1013" spans="1:8" x14ac:dyDescent="0.3">
      <c r="A1013" t="s">
        <v>62</v>
      </c>
      <c r="B1013">
        <v>1</v>
      </c>
      <c r="C1013" t="s">
        <v>63</v>
      </c>
      <c r="D1013">
        <v>673</v>
      </c>
      <c r="E1013">
        <v>1933</v>
      </c>
      <c r="G1013" t="s">
        <v>71</v>
      </c>
      <c r="H1013" t="s">
        <v>67</v>
      </c>
    </row>
    <row r="1014" spans="1:8" x14ac:dyDescent="0.3">
      <c r="A1014" t="s">
        <v>62</v>
      </c>
      <c r="B1014">
        <v>1</v>
      </c>
      <c r="C1014" t="s">
        <v>63</v>
      </c>
      <c r="D1014">
        <v>820</v>
      </c>
      <c r="E1014">
        <v>1934</v>
      </c>
      <c r="G1014" t="s">
        <v>71</v>
      </c>
      <c r="H1014" t="s">
        <v>67</v>
      </c>
    </row>
    <row r="1015" spans="1:8" x14ac:dyDescent="0.3">
      <c r="A1015" t="s">
        <v>62</v>
      </c>
      <c r="B1015">
        <v>1</v>
      </c>
      <c r="C1015" t="s">
        <v>63</v>
      </c>
      <c r="D1015">
        <v>1162</v>
      </c>
      <c r="E1015">
        <v>1935</v>
      </c>
      <c r="G1015" t="s">
        <v>71</v>
      </c>
      <c r="H1015" t="s">
        <v>67</v>
      </c>
    </row>
    <row r="1016" spans="1:8" x14ac:dyDescent="0.3">
      <c r="A1016" t="s">
        <v>62</v>
      </c>
      <c r="B1016">
        <v>1</v>
      </c>
      <c r="C1016" t="s">
        <v>63</v>
      </c>
      <c r="D1016">
        <v>1388</v>
      </c>
      <c r="E1016">
        <v>1936</v>
      </c>
      <c r="G1016" t="s">
        <v>71</v>
      </c>
      <c r="H1016" t="s">
        <v>67</v>
      </c>
    </row>
    <row r="1017" spans="1:8" x14ac:dyDescent="0.3">
      <c r="A1017" t="s">
        <v>62</v>
      </c>
      <c r="B1017">
        <v>1</v>
      </c>
      <c r="C1017" t="s">
        <v>63</v>
      </c>
      <c r="D1017">
        <v>1673</v>
      </c>
      <c r="E1017">
        <v>1937</v>
      </c>
      <c r="G1017" t="s">
        <v>71</v>
      </c>
      <c r="H1017" t="s">
        <v>67</v>
      </c>
    </row>
    <row r="1018" spans="1:8" x14ac:dyDescent="0.3">
      <c r="A1018" t="s">
        <v>62</v>
      </c>
      <c r="B1018">
        <v>1</v>
      </c>
      <c r="C1018" t="s">
        <v>63</v>
      </c>
      <c r="D1018">
        <v>1943</v>
      </c>
      <c r="E1018">
        <v>1938</v>
      </c>
      <c r="G1018" t="s">
        <v>71</v>
      </c>
      <c r="H1018" t="s">
        <v>67</v>
      </c>
    </row>
    <row r="1019" spans="1:8" x14ac:dyDescent="0.3">
      <c r="A1019" t="s">
        <v>62</v>
      </c>
      <c r="B1019">
        <v>1</v>
      </c>
      <c r="C1019" t="s">
        <v>63</v>
      </c>
      <c r="D1019">
        <v>1800</v>
      </c>
      <c r="E1019">
        <v>1939</v>
      </c>
      <c r="G1019" t="s">
        <v>71</v>
      </c>
      <c r="H1019" t="s">
        <v>67</v>
      </c>
    </row>
    <row r="1020" spans="1:8" x14ac:dyDescent="0.3">
      <c r="A1020" t="s">
        <v>62</v>
      </c>
      <c r="B1020">
        <v>1</v>
      </c>
      <c r="C1020" t="s">
        <v>63</v>
      </c>
      <c r="D1020">
        <v>962</v>
      </c>
      <c r="E1020">
        <v>1940</v>
      </c>
      <c r="G1020" t="s">
        <v>71</v>
      </c>
      <c r="H1020" t="s">
        <v>67</v>
      </c>
    </row>
    <row r="1021" spans="1:8" x14ac:dyDescent="0.3">
      <c r="A1021" t="s">
        <v>62</v>
      </c>
      <c r="B1021">
        <v>1</v>
      </c>
      <c r="C1021" t="s">
        <v>63</v>
      </c>
      <c r="D1021">
        <v>850</v>
      </c>
      <c r="E1021">
        <v>1941</v>
      </c>
      <c r="G1021" t="s">
        <v>71</v>
      </c>
      <c r="H1021" t="s">
        <v>67</v>
      </c>
    </row>
    <row r="1022" spans="1:8" x14ac:dyDescent="0.3">
      <c r="A1022" t="s">
        <v>62</v>
      </c>
      <c r="B1022">
        <v>1</v>
      </c>
      <c r="C1022" t="s">
        <v>63</v>
      </c>
      <c r="E1022">
        <v>1942</v>
      </c>
      <c r="G1022" t="s">
        <v>71</v>
      </c>
      <c r="H1022" t="s">
        <v>67</v>
      </c>
    </row>
    <row r="1023" spans="1:8" x14ac:dyDescent="0.3">
      <c r="A1023" t="s">
        <v>62</v>
      </c>
      <c r="B1023">
        <v>1</v>
      </c>
      <c r="C1023" t="s">
        <v>63</v>
      </c>
      <c r="E1023">
        <v>1943</v>
      </c>
      <c r="G1023" t="s">
        <v>71</v>
      </c>
      <c r="H1023" t="s">
        <v>67</v>
      </c>
    </row>
    <row r="1024" spans="1:8" x14ac:dyDescent="0.3">
      <c r="A1024" t="s">
        <v>62</v>
      </c>
      <c r="B1024">
        <v>1</v>
      </c>
      <c r="C1024" t="s">
        <v>63</v>
      </c>
      <c r="E1024">
        <v>1944</v>
      </c>
      <c r="G1024" t="s">
        <v>71</v>
      </c>
      <c r="H1024" t="s">
        <v>67</v>
      </c>
    </row>
    <row r="1025" spans="1:8" x14ac:dyDescent="0.3">
      <c r="A1025" t="s">
        <v>62</v>
      </c>
      <c r="B1025">
        <v>1</v>
      </c>
      <c r="C1025" t="s">
        <v>63</v>
      </c>
      <c r="E1025">
        <v>1945</v>
      </c>
      <c r="G1025" t="s">
        <v>71</v>
      </c>
      <c r="H1025" t="s">
        <v>67</v>
      </c>
    </row>
    <row r="1026" spans="1:8" x14ac:dyDescent="0.3">
      <c r="A1026" t="s">
        <v>62</v>
      </c>
      <c r="B1026">
        <v>1</v>
      </c>
      <c r="C1026" t="s">
        <v>63</v>
      </c>
      <c r="D1026">
        <v>240</v>
      </c>
      <c r="E1026">
        <v>1946</v>
      </c>
      <c r="G1026" t="s">
        <v>71</v>
      </c>
      <c r="H1026" t="s">
        <v>67</v>
      </c>
    </row>
    <row r="1027" spans="1:8" x14ac:dyDescent="0.3">
      <c r="A1027" t="s">
        <v>62</v>
      </c>
      <c r="B1027">
        <v>1</v>
      </c>
      <c r="C1027" t="s">
        <v>63</v>
      </c>
      <c r="D1027">
        <v>250</v>
      </c>
      <c r="E1027">
        <v>1947</v>
      </c>
      <c r="G1027" t="s">
        <v>71</v>
      </c>
      <c r="H1027" t="s">
        <v>67</v>
      </c>
    </row>
    <row r="1028" spans="1:8" x14ac:dyDescent="0.3">
      <c r="A1028" t="s">
        <v>62</v>
      </c>
      <c r="B1028">
        <v>1</v>
      </c>
      <c r="C1028" t="s">
        <v>63</v>
      </c>
      <c r="D1028">
        <v>120</v>
      </c>
      <c r="E1028">
        <v>1948</v>
      </c>
      <c r="G1028" t="s">
        <v>71</v>
      </c>
      <c r="H1028" t="s">
        <v>67</v>
      </c>
    </row>
    <row r="1029" spans="1:8" x14ac:dyDescent="0.3">
      <c r="A1029" t="s">
        <v>62</v>
      </c>
      <c r="B1029">
        <v>1</v>
      </c>
      <c r="C1029" t="s">
        <v>63</v>
      </c>
      <c r="D1029">
        <v>60</v>
      </c>
      <c r="E1029">
        <v>1949</v>
      </c>
      <c r="G1029" t="s">
        <v>71</v>
      </c>
      <c r="H1029" t="s">
        <v>67</v>
      </c>
    </row>
    <row r="1030" spans="1:8" x14ac:dyDescent="0.3">
      <c r="A1030" t="s">
        <v>62</v>
      </c>
      <c r="B1030">
        <v>1</v>
      </c>
      <c r="C1030" t="s">
        <v>63</v>
      </c>
      <c r="D1030">
        <v>8</v>
      </c>
      <c r="E1030">
        <v>1950</v>
      </c>
      <c r="G1030" t="s">
        <v>71</v>
      </c>
      <c r="H1030" t="s">
        <v>67</v>
      </c>
    </row>
    <row r="1031" spans="1:8" x14ac:dyDescent="0.3">
      <c r="A1031" t="s">
        <v>62</v>
      </c>
      <c r="B1031">
        <v>2</v>
      </c>
      <c r="C1031" t="s">
        <v>64</v>
      </c>
      <c r="D1031">
        <v>15</v>
      </c>
      <c r="E1031">
        <v>1911</v>
      </c>
      <c r="G1031" t="s">
        <v>71</v>
      </c>
      <c r="H1031" t="s">
        <v>67</v>
      </c>
    </row>
    <row r="1032" spans="1:8" x14ac:dyDescent="0.3">
      <c r="A1032" t="s">
        <v>62</v>
      </c>
      <c r="B1032">
        <v>2</v>
      </c>
      <c r="C1032" t="s">
        <v>64</v>
      </c>
      <c r="D1032">
        <v>25</v>
      </c>
      <c r="E1032">
        <v>1912</v>
      </c>
      <c r="G1032" t="s">
        <v>71</v>
      </c>
      <c r="H1032" t="s">
        <v>67</v>
      </c>
    </row>
    <row r="1033" spans="1:8" x14ac:dyDescent="0.3">
      <c r="A1033" t="s">
        <v>62</v>
      </c>
      <c r="B1033">
        <v>2</v>
      </c>
      <c r="C1033" t="s">
        <v>64</v>
      </c>
      <c r="D1033">
        <v>38</v>
      </c>
      <c r="E1033">
        <v>1913</v>
      </c>
      <c r="G1033" t="s">
        <v>71</v>
      </c>
      <c r="H1033" t="s">
        <v>67</v>
      </c>
    </row>
    <row r="1034" spans="1:8" x14ac:dyDescent="0.3">
      <c r="A1034" t="s">
        <v>62</v>
      </c>
      <c r="B1034">
        <v>2</v>
      </c>
      <c r="C1034" t="s">
        <v>64</v>
      </c>
      <c r="D1034">
        <v>58</v>
      </c>
      <c r="E1034">
        <v>1914</v>
      </c>
      <c r="G1034" t="s">
        <v>71</v>
      </c>
      <c r="H1034" t="s">
        <v>67</v>
      </c>
    </row>
    <row r="1035" spans="1:8" x14ac:dyDescent="0.3">
      <c r="A1035" t="s">
        <v>62</v>
      </c>
      <c r="B1035">
        <v>2</v>
      </c>
      <c r="C1035" t="s">
        <v>64</v>
      </c>
      <c r="D1035">
        <v>62</v>
      </c>
      <c r="E1035">
        <v>1915</v>
      </c>
      <c r="G1035" t="s">
        <v>71</v>
      </c>
      <c r="H1035" t="s">
        <v>67</v>
      </c>
    </row>
    <row r="1036" spans="1:8" x14ac:dyDescent="0.3">
      <c r="A1036" t="s">
        <v>62</v>
      </c>
      <c r="B1036">
        <v>2</v>
      </c>
      <c r="C1036" t="s">
        <v>64</v>
      </c>
      <c r="D1036">
        <v>87</v>
      </c>
      <c r="E1036">
        <v>1916</v>
      </c>
      <c r="G1036" t="s">
        <v>71</v>
      </c>
      <c r="H1036" t="s">
        <v>67</v>
      </c>
    </row>
    <row r="1037" spans="1:8" x14ac:dyDescent="0.3">
      <c r="A1037" t="s">
        <v>62</v>
      </c>
      <c r="B1037">
        <v>2</v>
      </c>
      <c r="C1037" t="s">
        <v>64</v>
      </c>
      <c r="D1037">
        <v>96</v>
      </c>
      <c r="E1037">
        <v>1917</v>
      </c>
      <c r="G1037" t="s">
        <v>71</v>
      </c>
      <c r="H1037" t="s">
        <v>67</v>
      </c>
    </row>
    <row r="1038" spans="1:8" x14ac:dyDescent="0.3">
      <c r="A1038" t="s">
        <v>62</v>
      </c>
      <c r="B1038">
        <v>2</v>
      </c>
      <c r="C1038" t="s">
        <v>64</v>
      </c>
      <c r="D1038">
        <v>132</v>
      </c>
      <c r="E1038">
        <v>1918</v>
      </c>
      <c r="G1038" t="s">
        <v>71</v>
      </c>
      <c r="H1038" t="s">
        <v>67</v>
      </c>
    </row>
    <row r="1039" spans="1:8" x14ac:dyDescent="0.3">
      <c r="A1039" t="s">
        <v>62</v>
      </c>
      <c r="B1039">
        <v>2</v>
      </c>
      <c r="C1039" t="s">
        <v>64</v>
      </c>
      <c r="D1039">
        <v>145</v>
      </c>
      <c r="E1039">
        <v>1919</v>
      </c>
      <c r="G1039" t="s">
        <v>71</v>
      </c>
      <c r="H1039" t="s">
        <v>67</v>
      </c>
    </row>
    <row r="1040" spans="1:8" x14ac:dyDescent="0.3">
      <c r="A1040" t="s">
        <v>62</v>
      </c>
      <c r="B1040">
        <v>2</v>
      </c>
      <c r="C1040" t="s">
        <v>64</v>
      </c>
      <c r="D1040">
        <v>156</v>
      </c>
      <c r="E1040">
        <v>1920</v>
      </c>
      <c r="G1040" t="s">
        <v>71</v>
      </c>
      <c r="H1040" t="s">
        <v>67</v>
      </c>
    </row>
    <row r="1041" spans="1:8" x14ac:dyDescent="0.3">
      <c r="A1041" t="s">
        <v>62</v>
      </c>
      <c r="B1041">
        <v>2</v>
      </c>
      <c r="C1041" t="s">
        <v>64</v>
      </c>
      <c r="D1041">
        <v>179</v>
      </c>
      <c r="E1041">
        <v>1921</v>
      </c>
      <c r="G1041" t="s">
        <v>71</v>
      </c>
      <c r="H1041" t="s">
        <v>67</v>
      </c>
    </row>
    <row r="1042" spans="1:8" x14ac:dyDescent="0.3">
      <c r="A1042" t="s">
        <v>62</v>
      </c>
      <c r="B1042">
        <v>2</v>
      </c>
      <c r="C1042" t="s">
        <v>64</v>
      </c>
      <c r="D1042">
        <v>222</v>
      </c>
      <c r="E1042">
        <v>1922</v>
      </c>
      <c r="G1042" t="s">
        <v>71</v>
      </c>
      <c r="H1042" t="s">
        <v>67</v>
      </c>
    </row>
    <row r="1043" spans="1:8" x14ac:dyDescent="0.3">
      <c r="A1043" t="s">
        <v>62</v>
      </c>
      <c r="B1043">
        <v>2</v>
      </c>
      <c r="C1043" t="s">
        <v>64</v>
      </c>
      <c r="D1043">
        <v>179</v>
      </c>
      <c r="E1043">
        <v>1923</v>
      </c>
      <c r="G1043" t="s">
        <v>71</v>
      </c>
      <c r="H1043" t="s">
        <v>67</v>
      </c>
    </row>
    <row r="1044" spans="1:8" x14ac:dyDescent="0.3">
      <c r="A1044" t="s">
        <v>62</v>
      </c>
      <c r="B1044">
        <v>2</v>
      </c>
      <c r="C1044" t="s">
        <v>64</v>
      </c>
      <c r="D1044">
        <v>168</v>
      </c>
      <c r="E1044">
        <v>1924</v>
      </c>
      <c r="G1044" t="s">
        <v>71</v>
      </c>
      <c r="H1044" t="s">
        <v>67</v>
      </c>
    </row>
    <row r="1045" spans="1:8" x14ac:dyDescent="0.3">
      <c r="A1045" t="s">
        <v>62</v>
      </c>
      <c r="B1045">
        <v>2</v>
      </c>
      <c r="C1045" t="s">
        <v>64</v>
      </c>
      <c r="D1045">
        <v>77</v>
      </c>
      <c r="E1045">
        <v>1925</v>
      </c>
      <c r="G1045" t="s">
        <v>71</v>
      </c>
      <c r="H1045" t="s">
        <v>67</v>
      </c>
    </row>
    <row r="1046" spans="1:8" x14ac:dyDescent="0.3">
      <c r="A1046" t="s">
        <v>62</v>
      </c>
      <c r="B1046">
        <v>2</v>
      </c>
      <c r="C1046" t="s">
        <v>64</v>
      </c>
      <c r="D1046">
        <v>60</v>
      </c>
      <c r="E1046">
        <v>1926</v>
      </c>
      <c r="G1046" t="s">
        <v>71</v>
      </c>
      <c r="H1046" t="s">
        <v>67</v>
      </c>
    </row>
    <row r="1047" spans="1:8" x14ac:dyDescent="0.3">
      <c r="A1047" t="s">
        <v>62</v>
      </c>
      <c r="B1047">
        <v>2</v>
      </c>
      <c r="C1047" t="s">
        <v>64</v>
      </c>
      <c r="D1047">
        <v>50</v>
      </c>
      <c r="E1047">
        <v>1927</v>
      </c>
      <c r="G1047" t="s">
        <v>71</v>
      </c>
      <c r="H1047" t="s">
        <v>67</v>
      </c>
    </row>
    <row r="1048" spans="1:8" x14ac:dyDescent="0.3">
      <c r="A1048" t="s">
        <v>62</v>
      </c>
      <c r="B1048">
        <v>2</v>
      </c>
      <c r="C1048" t="s">
        <v>64</v>
      </c>
      <c r="D1048">
        <v>66</v>
      </c>
      <c r="E1048">
        <v>1928</v>
      </c>
      <c r="G1048" t="s">
        <v>71</v>
      </c>
      <c r="H1048" t="s">
        <v>67</v>
      </c>
    </row>
    <row r="1049" spans="1:8" x14ac:dyDescent="0.3">
      <c r="A1049" t="s">
        <v>62</v>
      </c>
      <c r="B1049">
        <v>2</v>
      </c>
      <c r="C1049" t="s">
        <v>64</v>
      </c>
      <c r="D1049">
        <v>45</v>
      </c>
      <c r="E1049">
        <v>1929</v>
      </c>
      <c r="G1049" t="s">
        <v>71</v>
      </c>
      <c r="H1049" t="s">
        <v>67</v>
      </c>
    </row>
    <row r="1050" spans="1:8" x14ac:dyDescent="0.3">
      <c r="A1050" t="s">
        <v>62</v>
      </c>
      <c r="B1050">
        <v>2</v>
      </c>
      <c r="C1050" t="s">
        <v>64</v>
      </c>
      <c r="D1050">
        <v>51</v>
      </c>
      <c r="E1050">
        <v>1930</v>
      </c>
      <c r="G1050" t="s">
        <v>71</v>
      </c>
      <c r="H1050" t="s">
        <v>67</v>
      </c>
    </row>
    <row r="1051" spans="1:8" x14ac:dyDescent="0.3">
      <c r="A1051" t="s">
        <v>62</v>
      </c>
      <c r="B1051">
        <v>2</v>
      </c>
      <c r="C1051" t="s">
        <v>64</v>
      </c>
      <c r="D1051">
        <v>52</v>
      </c>
      <c r="E1051">
        <v>1931</v>
      </c>
      <c r="G1051" t="s">
        <v>71</v>
      </c>
      <c r="H1051" t="s">
        <v>67</v>
      </c>
    </row>
    <row r="1052" spans="1:8" x14ac:dyDescent="0.3">
      <c r="A1052" t="s">
        <v>62</v>
      </c>
      <c r="B1052">
        <v>2</v>
      </c>
      <c r="C1052" t="s">
        <v>64</v>
      </c>
      <c r="D1052">
        <v>57</v>
      </c>
      <c r="E1052">
        <v>1932</v>
      </c>
      <c r="G1052" t="s">
        <v>71</v>
      </c>
      <c r="H1052" t="s">
        <v>67</v>
      </c>
    </row>
    <row r="1053" spans="1:8" x14ac:dyDescent="0.3">
      <c r="A1053" t="s">
        <v>62</v>
      </c>
      <c r="B1053">
        <v>2</v>
      </c>
      <c r="C1053" t="s">
        <v>64</v>
      </c>
      <c r="D1053">
        <v>63</v>
      </c>
      <c r="E1053">
        <v>1933</v>
      </c>
      <c r="G1053" t="s">
        <v>71</v>
      </c>
      <c r="H1053" t="s">
        <v>67</v>
      </c>
    </row>
    <row r="1054" spans="1:8" x14ac:dyDescent="0.3">
      <c r="A1054" t="s">
        <v>62</v>
      </c>
      <c r="B1054">
        <v>2</v>
      </c>
      <c r="C1054" t="s">
        <v>64</v>
      </c>
      <c r="D1054">
        <v>72</v>
      </c>
      <c r="E1054">
        <v>1934</v>
      </c>
      <c r="G1054" t="s">
        <v>71</v>
      </c>
      <c r="H1054" t="s">
        <v>67</v>
      </c>
    </row>
    <row r="1055" spans="1:8" x14ac:dyDescent="0.3">
      <c r="A1055" t="s">
        <v>62</v>
      </c>
      <c r="B1055">
        <v>2</v>
      </c>
      <c r="C1055" t="s">
        <v>64</v>
      </c>
      <c r="D1055">
        <v>74</v>
      </c>
      <c r="E1055">
        <v>1935</v>
      </c>
      <c r="G1055" t="s">
        <v>71</v>
      </c>
      <c r="H1055" t="s">
        <v>67</v>
      </c>
    </row>
    <row r="1056" spans="1:8" x14ac:dyDescent="0.3">
      <c r="A1056" t="s">
        <v>62</v>
      </c>
      <c r="B1056">
        <v>2</v>
      </c>
      <c r="C1056" t="s">
        <v>64</v>
      </c>
      <c r="D1056">
        <v>44</v>
      </c>
      <c r="E1056">
        <v>1936</v>
      </c>
      <c r="G1056" t="s">
        <v>71</v>
      </c>
      <c r="H1056" t="s">
        <v>67</v>
      </c>
    </row>
    <row r="1057" spans="1:8" x14ac:dyDescent="0.3">
      <c r="A1057" t="s">
        <v>62</v>
      </c>
      <c r="B1057">
        <v>2</v>
      </c>
      <c r="C1057" t="s">
        <v>64</v>
      </c>
      <c r="D1057">
        <v>40</v>
      </c>
      <c r="E1057">
        <v>1937</v>
      </c>
      <c r="G1057" t="s">
        <v>71</v>
      </c>
      <c r="H1057" t="s">
        <v>67</v>
      </c>
    </row>
    <row r="1058" spans="1:8" x14ac:dyDescent="0.3">
      <c r="A1058" t="s">
        <v>62</v>
      </c>
      <c r="B1058">
        <v>2</v>
      </c>
      <c r="C1058" t="s">
        <v>64</v>
      </c>
      <c r="D1058">
        <v>38</v>
      </c>
      <c r="E1058">
        <v>1938</v>
      </c>
      <c r="G1058" t="s">
        <v>71</v>
      </c>
      <c r="H1058" t="s">
        <v>67</v>
      </c>
    </row>
    <row r="1059" spans="1:8" x14ac:dyDescent="0.3">
      <c r="A1059" t="s">
        <v>62</v>
      </c>
      <c r="B1059">
        <v>2</v>
      </c>
      <c r="C1059" t="s">
        <v>64</v>
      </c>
      <c r="D1059">
        <v>42</v>
      </c>
      <c r="E1059">
        <v>1939</v>
      </c>
      <c r="G1059" t="s">
        <v>71</v>
      </c>
      <c r="H1059" t="s">
        <v>67</v>
      </c>
    </row>
    <row r="1060" spans="1:8" x14ac:dyDescent="0.3">
      <c r="A1060" t="s">
        <v>62</v>
      </c>
      <c r="B1060">
        <v>2</v>
      </c>
      <c r="C1060" t="s">
        <v>64</v>
      </c>
      <c r="D1060">
        <v>54</v>
      </c>
      <c r="E1060">
        <v>1940</v>
      </c>
      <c r="G1060" t="s">
        <v>71</v>
      </c>
      <c r="H1060" t="s">
        <v>67</v>
      </c>
    </row>
    <row r="1061" spans="1:8" x14ac:dyDescent="0.3">
      <c r="A1061" t="s">
        <v>62</v>
      </c>
      <c r="B1061">
        <v>2</v>
      </c>
      <c r="C1061" t="s">
        <v>64</v>
      </c>
      <c r="D1061">
        <v>56</v>
      </c>
      <c r="E1061">
        <v>1941</v>
      </c>
      <c r="G1061" t="s">
        <v>71</v>
      </c>
      <c r="H1061" t="s">
        <v>67</v>
      </c>
    </row>
    <row r="1062" spans="1:8" x14ac:dyDescent="0.3">
      <c r="A1062" t="s">
        <v>62</v>
      </c>
      <c r="B1062">
        <v>2</v>
      </c>
      <c r="C1062" t="s">
        <v>64</v>
      </c>
      <c r="E1062">
        <v>1942</v>
      </c>
      <c r="G1062" t="s">
        <v>71</v>
      </c>
      <c r="H1062" t="s">
        <v>67</v>
      </c>
    </row>
    <row r="1063" spans="1:8" x14ac:dyDescent="0.3">
      <c r="A1063" t="s">
        <v>62</v>
      </c>
      <c r="B1063">
        <v>2</v>
      </c>
      <c r="C1063" t="s">
        <v>64</v>
      </c>
      <c r="E1063">
        <v>1943</v>
      </c>
      <c r="G1063" t="s">
        <v>71</v>
      </c>
      <c r="H1063" t="s">
        <v>67</v>
      </c>
    </row>
    <row r="1064" spans="1:8" x14ac:dyDescent="0.3">
      <c r="A1064" t="s">
        <v>62</v>
      </c>
      <c r="B1064">
        <v>2</v>
      </c>
      <c r="C1064" t="s">
        <v>64</v>
      </c>
      <c r="E1064">
        <v>1944</v>
      </c>
      <c r="G1064" t="s">
        <v>71</v>
      </c>
      <c r="H1064" t="s">
        <v>67</v>
      </c>
    </row>
    <row r="1065" spans="1:8" x14ac:dyDescent="0.3">
      <c r="A1065" t="s">
        <v>62</v>
      </c>
      <c r="B1065">
        <v>2</v>
      </c>
      <c r="C1065" t="s">
        <v>64</v>
      </c>
      <c r="D1065">
        <v>41</v>
      </c>
      <c r="E1065">
        <v>1945</v>
      </c>
      <c r="G1065" t="s">
        <v>71</v>
      </c>
      <c r="H1065" t="s">
        <v>67</v>
      </c>
    </row>
    <row r="1066" spans="1:8" x14ac:dyDescent="0.3">
      <c r="A1066" t="s">
        <v>62</v>
      </c>
      <c r="B1066">
        <v>2</v>
      </c>
      <c r="C1066" t="s">
        <v>64</v>
      </c>
      <c r="D1066">
        <v>38</v>
      </c>
      <c r="E1066">
        <v>1946</v>
      </c>
      <c r="G1066" t="s">
        <v>71</v>
      </c>
      <c r="H1066" t="s">
        <v>67</v>
      </c>
    </row>
    <row r="1067" spans="1:8" x14ac:dyDescent="0.3">
      <c r="A1067" t="s">
        <v>62</v>
      </c>
      <c r="B1067">
        <v>2</v>
      </c>
      <c r="C1067" t="s">
        <v>64</v>
      </c>
      <c r="D1067">
        <v>20</v>
      </c>
      <c r="E1067">
        <v>1947</v>
      </c>
      <c r="G1067" t="s">
        <v>71</v>
      </c>
      <c r="H1067" t="s">
        <v>67</v>
      </c>
    </row>
    <row r="1068" spans="1:8" x14ac:dyDescent="0.3">
      <c r="A1068" t="s">
        <v>62</v>
      </c>
      <c r="B1068">
        <v>2</v>
      </c>
      <c r="C1068" t="s">
        <v>64</v>
      </c>
      <c r="D1068">
        <v>10</v>
      </c>
      <c r="E1068">
        <v>1948</v>
      </c>
      <c r="G1068" t="s">
        <v>71</v>
      </c>
      <c r="H1068" t="s">
        <v>67</v>
      </c>
    </row>
    <row r="1069" spans="1:8" x14ac:dyDescent="0.3">
      <c r="A1069" t="s">
        <v>62</v>
      </c>
      <c r="B1069">
        <v>2</v>
      </c>
      <c r="C1069" t="s">
        <v>64</v>
      </c>
      <c r="D1069">
        <v>30</v>
      </c>
      <c r="E1069">
        <v>1949</v>
      </c>
      <c r="G1069" t="s">
        <v>71</v>
      </c>
      <c r="H1069" t="s">
        <v>67</v>
      </c>
    </row>
    <row r="1070" spans="1:8" x14ac:dyDescent="0.3">
      <c r="A1070" t="s">
        <v>74</v>
      </c>
      <c r="B1070">
        <v>1</v>
      </c>
      <c r="D1070" s="2">
        <v>11.370262390670554</v>
      </c>
      <c r="E1070">
        <v>1998</v>
      </c>
      <c r="G1070" t="s">
        <v>68</v>
      </c>
      <c r="H1070" t="s">
        <v>67</v>
      </c>
    </row>
    <row r="1071" spans="1:8" x14ac:dyDescent="0.3">
      <c r="A1071" t="s">
        <v>74</v>
      </c>
      <c r="B1071">
        <v>1</v>
      </c>
      <c r="D1071" s="2">
        <v>18.07580174927114</v>
      </c>
      <c r="E1071">
        <v>1999</v>
      </c>
      <c r="G1071" t="s">
        <v>68</v>
      </c>
      <c r="H1071" t="s">
        <v>67</v>
      </c>
    </row>
    <row r="1072" spans="1:8" x14ac:dyDescent="0.3">
      <c r="A1072" t="s">
        <v>74</v>
      </c>
      <c r="B1072">
        <v>1</v>
      </c>
      <c r="D1072" s="2">
        <v>76.676384839650154</v>
      </c>
      <c r="E1072">
        <v>2000</v>
      </c>
      <c r="G1072" t="s">
        <v>68</v>
      </c>
      <c r="H1072" t="s">
        <v>67</v>
      </c>
    </row>
    <row r="1073" spans="1:8" x14ac:dyDescent="0.3">
      <c r="A1073" t="s">
        <v>74</v>
      </c>
      <c r="B1073">
        <v>1</v>
      </c>
      <c r="D1073" s="2">
        <v>141.04308390022678</v>
      </c>
      <c r="E1073">
        <v>2001</v>
      </c>
      <c r="G1073" t="s">
        <v>68</v>
      </c>
      <c r="H1073" t="s">
        <v>67</v>
      </c>
    </row>
    <row r="1074" spans="1:8" x14ac:dyDescent="0.3">
      <c r="A1074" t="s">
        <v>74</v>
      </c>
      <c r="B1074">
        <v>1</v>
      </c>
      <c r="D1074" s="2">
        <v>89.115646258503418</v>
      </c>
      <c r="E1074">
        <v>2002</v>
      </c>
      <c r="G1074" t="s">
        <v>68</v>
      </c>
      <c r="H1074" t="s">
        <v>67</v>
      </c>
    </row>
    <row r="1075" spans="1:8" x14ac:dyDescent="0.3">
      <c r="A1075" t="s">
        <v>74</v>
      </c>
      <c r="B1075">
        <v>1</v>
      </c>
      <c r="D1075" s="2">
        <v>56.916099773242628</v>
      </c>
      <c r="E1075">
        <v>2003</v>
      </c>
      <c r="G1075" t="s">
        <v>68</v>
      </c>
      <c r="H1075" t="s">
        <v>67</v>
      </c>
    </row>
    <row r="1076" spans="1:8" x14ac:dyDescent="0.3">
      <c r="A1076" t="s">
        <v>74</v>
      </c>
      <c r="B1076">
        <v>1</v>
      </c>
      <c r="D1076" s="2">
        <v>54.81049562682216</v>
      </c>
      <c r="E1076">
        <v>2004</v>
      </c>
      <c r="G1076" t="s">
        <v>68</v>
      </c>
      <c r="H1076" t="s">
        <v>67</v>
      </c>
    </row>
    <row r="1077" spans="1:8" x14ac:dyDescent="0.3">
      <c r="A1077" t="s">
        <v>65</v>
      </c>
      <c r="B1077">
        <v>1</v>
      </c>
      <c r="C1077" t="s">
        <v>66</v>
      </c>
      <c r="D1077">
        <v>29</v>
      </c>
      <c r="E1077">
        <v>1944</v>
      </c>
      <c r="G1077" t="s">
        <v>71</v>
      </c>
      <c r="H1077" t="s">
        <v>67</v>
      </c>
    </row>
    <row r="1078" spans="1:8" x14ac:dyDescent="0.3">
      <c r="A1078" t="s">
        <v>65</v>
      </c>
      <c r="B1078">
        <v>1</v>
      </c>
      <c r="C1078" t="s">
        <v>66</v>
      </c>
      <c r="E1078">
        <v>1945</v>
      </c>
      <c r="G1078" t="s">
        <v>71</v>
      </c>
      <c r="H1078" t="s">
        <v>67</v>
      </c>
    </row>
    <row r="1079" spans="1:8" x14ac:dyDescent="0.3">
      <c r="A1079" t="s">
        <v>65</v>
      </c>
      <c r="B1079">
        <v>1</v>
      </c>
      <c r="C1079" t="s">
        <v>66</v>
      </c>
      <c r="E1079">
        <v>1946</v>
      </c>
      <c r="G1079" t="s">
        <v>71</v>
      </c>
      <c r="H1079" t="s">
        <v>67</v>
      </c>
    </row>
    <row r="1080" spans="1:8" x14ac:dyDescent="0.3">
      <c r="A1080" t="s">
        <v>65</v>
      </c>
      <c r="B1080">
        <v>1</v>
      </c>
      <c r="C1080" t="s">
        <v>66</v>
      </c>
      <c r="E1080">
        <v>1947</v>
      </c>
      <c r="G1080" t="s">
        <v>71</v>
      </c>
      <c r="H1080" t="s">
        <v>67</v>
      </c>
    </row>
    <row r="1081" spans="1:8" x14ac:dyDescent="0.3">
      <c r="A1081" t="s">
        <v>65</v>
      </c>
      <c r="B1081">
        <v>1</v>
      </c>
      <c r="C1081" t="s">
        <v>66</v>
      </c>
      <c r="E1081">
        <v>1948</v>
      </c>
      <c r="G1081" t="s">
        <v>71</v>
      </c>
      <c r="H1081" t="s">
        <v>67</v>
      </c>
    </row>
    <row r="1082" spans="1:8" x14ac:dyDescent="0.3">
      <c r="A1082" t="s">
        <v>65</v>
      </c>
      <c r="B1082">
        <v>1</v>
      </c>
      <c r="C1082" t="s">
        <v>66</v>
      </c>
      <c r="E1082">
        <v>1949</v>
      </c>
      <c r="G1082" t="s">
        <v>71</v>
      </c>
      <c r="H1082" t="s">
        <v>67</v>
      </c>
    </row>
    <row r="1083" spans="1:8" x14ac:dyDescent="0.3">
      <c r="A1083" t="s">
        <v>65</v>
      </c>
      <c r="B1083">
        <v>1</v>
      </c>
      <c r="C1083" t="s">
        <v>66</v>
      </c>
      <c r="E1083">
        <v>1950</v>
      </c>
      <c r="G1083" t="s">
        <v>71</v>
      </c>
      <c r="H1083" t="s">
        <v>67</v>
      </c>
    </row>
    <row r="1084" spans="1:8" x14ac:dyDescent="0.3">
      <c r="A1084" t="s">
        <v>65</v>
      </c>
      <c r="B1084">
        <v>1</v>
      </c>
      <c r="C1084" t="s">
        <v>66</v>
      </c>
      <c r="E1084">
        <v>1951</v>
      </c>
      <c r="G1084" t="s">
        <v>71</v>
      </c>
      <c r="H1084" t="s">
        <v>67</v>
      </c>
    </row>
    <row r="1085" spans="1:8" x14ac:dyDescent="0.3">
      <c r="A1085" t="s">
        <v>65</v>
      </c>
      <c r="B1085">
        <v>1</v>
      </c>
      <c r="C1085" t="s">
        <v>66</v>
      </c>
      <c r="E1085">
        <v>1952</v>
      </c>
      <c r="G1085" t="s">
        <v>71</v>
      </c>
      <c r="H1085" t="s">
        <v>67</v>
      </c>
    </row>
    <row r="1086" spans="1:8" x14ac:dyDescent="0.3">
      <c r="A1086" t="s">
        <v>65</v>
      </c>
      <c r="B1086">
        <v>1</v>
      </c>
      <c r="C1086" t="s">
        <v>66</v>
      </c>
      <c r="E1086">
        <v>1953</v>
      </c>
      <c r="G1086" t="s">
        <v>71</v>
      </c>
      <c r="H1086" t="s">
        <v>67</v>
      </c>
    </row>
    <row r="1087" spans="1:8" x14ac:dyDescent="0.3">
      <c r="A1087" t="s">
        <v>65</v>
      </c>
      <c r="B1087">
        <v>1</v>
      </c>
      <c r="C1087" t="s">
        <v>66</v>
      </c>
      <c r="E1087">
        <v>1954</v>
      </c>
      <c r="G1087" t="s">
        <v>71</v>
      </c>
      <c r="H1087" t="s">
        <v>67</v>
      </c>
    </row>
    <row r="1088" spans="1:8" x14ac:dyDescent="0.3">
      <c r="A1088" t="s">
        <v>65</v>
      </c>
      <c r="B1088">
        <v>1</v>
      </c>
      <c r="C1088" t="s">
        <v>66</v>
      </c>
      <c r="E1088">
        <v>1955</v>
      </c>
      <c r="G1088" t="s">
        <v>71</v>
      </c>
      <c r="H1088" t="s">
        <v>67</v>
      </c>
    </row>
    <row r="1089" spans="1:8" x14ac:dyDescent="0.3">
      <c r="A1089" t="s">
        <v>65</v>
      </c>
      <c r="B1089">
        <v>1</v>
      </c>
      <c r="C1089" t="s">
        <v>66</v>
      </c>
      <c r="E1089">
        <v>1956</v>
      </c>
      <c r="G1089" t="s">
        <v>71</v>
      </c>
      <c r="H1089" t="s">
        <v>67</v>
      </c>
    </row>
    <row r="1090" spans="1:8" x14ac:dyDescent="0.3">
      <c r="A1090" t="s">
        <v>65</v>
      </c>
      <c r="B1090">
        <v>1</v>
      </c>
      <c r="C1090" t="s">
        <v>66</v>
      </c>
      <c r="D1090">
        <v>1350</v>
      </c>
      <c r="E1090">
        <v>1957</v>
      </c>
      <c r="G1090" t="s">
        <v>71</v>
      </c>
      <c r="H1090" t="s">
        <v>67</v>
      </c>
    </row>
    <row r="1091" spans="1:8" x14ac:dyDescent="0.3">
      <c r="A1091" t="s">
        <v>65</v>
      </c>
      <c r="B1091">
        <v>1</v>
      </c>
      <c r="C1091" t="s">
        <v>66</v>
      </c>
      <c r="E1091">
        <v>1958</v>
      </c>
      <c r="G1091" t="s">
        <v>71</v>
      </c>
      <c r="H1091" t="s">
        <v>67</v>
      </c>
    </row>
    <row r="1092" spans="1:8" x14ac:dyDescent="0.3">
      <c r="A1092" t="s">
        <v>65</v>
      </c>
      <c r="B1092">
        <v>1</v>
      </c>
      <c r="C1092" t="s">
        <v>66</v>
      </c>
      <c r="E1092">
        <v>1959</v>
      </c>
      <c r="G1092" t="s">
        <v>71</v>
      </c>
      <c r="H1092" t="s">
        <v>67</v>
      </c>
    </row>
    <row r="1093" spans="1:8" x14ac:dyDescent="0.3">
      <c r="A1093" t="s">
        <v>65</v>
      </c>
      <c r="B1093">
        <v>1</v>
      </c>
      <c r="C1093" t="s">
        <v>66</v>
      </c>
      <c r="E1093">
        <v>1960</v>
      </c>
      <c r="G1093" t="s">
        <v>71</v>
      </c>
      <c r="H1093" t="s">
        <v>67</v>
      </c>
    </row>
    <row r="1094" spans="1:8" x14ac:dyDescent="0.3">
      <c r="A1094" t="s">
        <v>65</v>
      </c>
      <c r="B1094">
        <v>1</v>
      </c>
      <c r="C1094" t="s">
        <v>66</v>
      </c>
      <c r="E1094">
        <v>1961</v>
      </c>
      <c r="G1094" t="s">
        <v>71</v>
      </c>
      <c r="H1094" t="s">
        <v>67</v>
      </c>
    </row>
    <row r="1095" spans="1:8" x14ac:dyDescent="0.3">
      <c r="A1095" t="s">
        <v>65</v>
      </c>
      <c r="B1095">
        <v>1</v>
      </c>
      <c r="C1095" t="s">
        <v>66</v>
      </c>
      <c r="E1095">
        <v>1962</v>
      </c>
      <c r="G1095" t="s">
        <v>71</v>
      </c>
      <c r="H1095" t="s">
        <v>67</v>
      </c>
    </row>
    <row r="1096" spans="1:8" x14ac:dyDescent="0.3">
      <c r="A1096" t="s">
        <v>65</v>
      </c>
      <c r="B1096">
        <v>1</v>
      </c>
      <c r="C1096" t="s">
        <v>66</v>
      </c>
      <c r="D1096">
        <v>6000</v>
      </c>
      <c r="E1096">
        <v>1963</v>
      </c>
      <c r="G1096" t="s">
        <v>71</v>
      </c>
      <c r="H1096" t="s">
        <v>67</v>
      </c>
    </row>
    <row r="1097" spans="1:8" x14ac:dyDescent="0.3">
      <c r="A1097" t="s">
        <v>65</v>
      </c>
      <c r="B1097">
        <v>1</v>
      </c>
      <c r="C1097" t="s">
        <v>66</v>
      </c>
      <c r="E1097">
        <v>1964</v>
      </c>
      <c r="G1097" t="s">
        <v>71</v>
      </c>
      <c r="H1097" t="s">
        <v>67</v>
      </c>
    </row>
    <row r="1098" spans="1:8" x14ac:dyDescent="0.3">
      <c r="A1098" t="s">
        <v>65</v>
      </c>
      <c r="B1098">
        <v>1</v>
      </c>
      <c r="C1098" t="s">
        <v>66</v>
      </c>
      <c r="E1098">
        <v>1965</v>
      </c>
      <c r="G1098" t="s">
        <v>71</v>
      </c>
      <c r="H1098" t="s">
        <v>67</v>
      </c>
    </row>
    <row r="1099" spans="1:8" x14ac:dyDescent="0.3">
      <c r="A1099" t="s">
        <v>65</v>
      </c>
      <c r="B1099">
        <v>1</v>
      </c>
      <c r="C1099" t="s">
        <v>66</v>
      </c>
      <c r="D1099">
        <v>42</v>
      </c>
      <c r="E1099">
        <v>1966</v>
      </c>
      <c r="G1099" t="s">
        <v>71</v>
      </c>
      <c r="H1099" t="s">
        <v>67</v>
      </c>
    </row>
    <row r="1100" spans="1:8" x14ac:dyDescent="0.3">
      <c r="A1100" t="s">
        <v>85</v>
      </c>
      <c r="B1100">
        <v>1</v>
      </c>
      <c r="C1100" t="s">
        <v>75</v>
      </c>
      <c r="D1100">
        <v>0</v>
      </c>
      <c r="E1100">
        <v>1975</v>
      </c>
      <c r="G1100" t="s">
        <v>9</v>
      </c>
      <c r="H1100" t="s">
        <v>67</v>
      </c>
    </row>
    <row r="1101" spans="1:8" x14ac:dyDescent="0.3">
      <c r="A1101" t="s">
        <v>85</v>
      </c>
      <c r="B1101">
        <v>1</v>
      </c>
      <c r="C1101" t="s">
        <v>75</v>
      </c>
      <c r="E1101">
        <v>1976</v>
      </c>
      <c r="G1101" t="s">
        <v>9</v>
      </c>
      <c r="H1101" t="s">
        <v>67</v>
      </c>
    </row>
    <row r="1102" spans="1:8" x14ac:dyDescent="0.3">
      <c r="A1102" t="s">
        <v>85</v>
      </c>
      <c r="B1102">
        <v>1</v>
      </c>
      <c r="C1102" t="s">
        <v>75</v>
      </c>
      <c r="E1102">
        <v>1977</v>
      </c>
      <c r="G1102" t="s">
        <v>9</v>
      </c>
      <c r="H1102" t="s">
        <v>67</v>
      </c>
    </row>
    <row r="1103" spans="1:8" x14ac:dyDescent="0.3">
      <c r="A1103" t="s">
        <v>85</v>
      </c>
      <c r="B1103">
        <v>1</v>
      </c>
      <c r="C1103" t="s">
        <v>75</v>
      </c>
      <c r="E1103">
        <v>1978</v>
      </c>
      <c r="G1103" t="s">
        <v>9</v>
      </c>
      <c r="H1103" t="s">
        <v>67</v>
      </c>
    </row>
    <row r="1104" spans="1:8" x14ac:dyDescent="0.3">
      <c r="A1104" t="s">
        <v>85</v>
      </c>
      <c r="B1104">
        <v>1</v>
      </c>
      <c r="C1104" t="s">
        <v>75</v>
      </c>
      <c r="E1104">
        <v>1979</v>
      </c>
      <c r="G1104" t="s">
        <v>9</v>
      </c>
      <c r="H1104" t="s">
        <v>67</v>
      </c>
    </row>
    <row r="1105" spans="1:8" x14ac:dyDescent="0.3">
      <c r="A1105" t="s">
        <v>85</v>
      </c>
      <c r="B1105">
        <v>1</v>
      </c>
      <c r="C1105" t="s">
        <v>75</v>
      </c>
      <c r="E1105">
        <v>1980</v>
      </c>
      <c r="G1105" t="s">
        <v>9</v>
      </c>
      <c r="H1105" t="s">
        <v>67</v>
      </c>
    </row>
    <row r="1106" spans="1:8" x14ac:dyDescent="0.3">
      <c r="A1106" t="s">
        <v>85</v>
      </c>
      <c r="B1106">
        <v>1</v>
      </c>
      <c r="C1106" t="s">
        <v>75</v>
      </c>
      <c r="E1106">
        <v>1981</v>
      </c>
      <c r="G1106" t="s">
        <v>9</v>
      </c>
      <c r="H1106" t="s">
        <v>67</v>
      </c>
    </row>
    <row r="1107" spans="1:8" x14ac:dyDescent="0.3">
      <c r="A1107" t="s">
        <v>85</v>
      </c>
      <c r="B1107">
        <v>1</v>
      </c>
      <c r="C1107" t="s">
        <v>75</v>
      </c>
      <c r="E1107">
        <v>1982</v>
      </c>
      <c r="G1107" t="s">
        <v>9</v>
      </c>
      <c r="H1107" t="s">
        <v>67</v>
      </c>
    </row>
    <row r="1108" spans="1:8" x14ac:dyDescent="0.3">
      <c r="A1108" t="s">
        <v>85</v>
      </c>
      <c r="B1108">
        <v>1</v>
      </c>
      <c r="C1108" t="s">
        <v>75</v>
      </c>
      <c r="E1108">
        <v>1983</v>
      </c>
      <c r="G1108" t="s">
        <v>9</v>
      </c>
      <c r="H1108" t="s">
        <v>67</v>
      </c>
    </row>
    <row r="1109" spans="1:8" x14ac:dyDescent="0.3">
      <c r="A1109" t="s">
        <v>85</v>
      </c>
      <c r="B1109">
        <v>1</v>
      </c>
      <c r="C1109" t="s">
        <v>75</v>
      </c>
      <c r="E1109">
        <v>1984</v>
      </c>
      <c r="G1109" t="s">
        <v>9</v>
      </c>
      <c r="H1109" t="s">
        <v>67</v>
      </c>
    </row>
    <row r="1110" spans="1:8" x14ac:dyDescent="0.3">
      <c r="A1110" t="s">
        <v>85</v>
      </c>
      <c r="B1110">
        <v>1</v>
      </c>
      <c r="C1110" t="s">
        <v>75</v>
      </c>
      <c r="E1110">
        <v>1985</v>
      </c>
      <c r="G1110" t="s">
        <v>9</v>
      </c>
      <c r="H1110" t="s">
        <v>67</v>
      </c>
    </row>
    <row r="1111" spans="1:8" x14ac:dyDescent="0.3">
      <c r="A1111" t="s">
        <v>85</v>
      </c>
      <c r="B1111">
        <v>1</v>
      </c>
      <c r="C1111" t="s">
        <v>75</v>
      </c>
      <c r="E1111">
        <v>1986</v>
      </c>
      <c r="G1111" t="s">
        <v>9</v>
      </c>
      <c r="H1111" t="s">
        <v>67</v>
      </c>
    </row>
    <row r="1112" spans="1:8" ht="16.2" customHeight="1" x14ac:dyDescent="0.3">
      <c r="A1112" t="s">
        <v>85</v>
      </c>
      <c r="B1112">
        <v>1</v>
      </c>
      <c r="C1112" t="s">
        <v>75</v>
      </c>
      <c r="D1112">
        <v>0</v>
      </c>
      <c r="E1112">
        <v>1987</v>
      </c>
      <c r="G1112" t="s">
        <v>9</v>
      </c>
      <c r="H1112" t="s">
        <v>67</v>
      </c>
    </row>
    <row r="1113" spans="1:8" x14ac:dyDescent="0.3">
      <c r="A1113" t="s">
        <v>85</v>
      </c>
      <c r="B1113">
        <v>1</v>
      </c>
      <c r="C1113" t="s">
        <v>75</v>
      </c>
      <c r="E1113">
        <v>1988</v>
      </c>
      <c r="G1113" t="s">
        <v>9</v>
      </c>
      <c r="H1113" t="s">
        <v>67</v>
      </c>
    </row>
    <row r="1114" spans="1:8" x14ac:dyDescent="0.3">
      <c r="A1114" t="s">
        <v>85</v>
      </c>
      <c r="B1114">
        <v>1</v>
      </c>
      <c r="C1114" t="s">
        <v>75</v>
      </c>
      <c r="E1114">
        <v>1989</v>
      </c>
      <c r="G1114" t="s">
        <v>9</v>
      </c>
      <c r="H1114" t="s">
        <v>67</v>
      </c>
    </row>
    <row r="1115" spans="1:8" x14ac:dyDescent="0.3">
      <c r="A1115" t="s">
        <v>85</v>
      </c>
      <c r="B1115">
        <v>1</v>
      </c>
      <c r="C1115" t="s">
        <v>75</v>
      </c>
      <c r="E1115">
        <v>1990</v>
      </c>
      <c r="G1115" t="s">
        <v>9</v>
      </c>
      <c r="H1115" t="s">
        <v>67</v>
      </c>
    </row>
    <row r="1116" spans="1:8" x14ac:dyDescent="0.3">
      <c r="A1116" t="s">
        <v>85</v>
      </c>
      <c r="B1116">
        <v>1</v>
      </c>
      <c r="C1116" t="s">
        <v>75</v>
      </c>
      <c r="E1116">
        <v>1991</v>
      </c>
      <c r="G1116" t="s">
        <v>9</v>
      </c>
      <c r="H1116" t="s">
        <v>67</v>
      </c>
    </row>
    <row r="1117" spans="1:8" x14ac:dyDescent="0.3">
      <c r="A1117" t="s">
        <v>85</v>
      </c>
      <c r="B1117">
        <v>1</v>
      </c>
      <c r="C1117" t="s">
        <v>75</v>
      </c>
      <c r="E1117">
        <v>1992</v>
      </c>
      <c r="G1117" t="s">
        <v>9</v>
      </c>
      <c r="H1117" t="s">
        <v>67</v>
      </c>
    </row>
    <row r="1118" spans="1:8" ht="14.4" customHeight="1" x14ac:dyDescent="0.3">
      <c r="A1118" t="s">
        <v>85</v>
      </c>
      <c r="B1118">
        <v>1</v>
      </c>
      <c r="C1118" t="s">
        <v>75</v>
      </c>
      <c r="D1118">
        <v>0</v>
      </c>
      <c r="E1118">
        <v>1993</v>
      </c>
      <c r="G1118" t="s">
        <v>9</v>
      </c>
      <c r="H1118" t="s">
        <v>67</v>
      </c>
    </row>
    <row r="1119" spans="1:8" x14ac:dyDescent="0.3">
      <c r="A1119" t="s">
        <v>85</v>
      </c>
      <c r="B1119">
        <v>1</v>
      </c>
      <c r="C1119" t="s">
        <v>75</v>
      </c>
      <c r="E1119">
        <v>1994</v>
      </c>
      <c r="G1119" t="s">
        <v>9</v>
      </c>
      <c r="H1119" t="s">
        <v>67</v>
      </c>
    </row>
    <row r="1120" spans="1:8" x14ac:dyDescent="0.3">
      <c r="A1120" t="s">
        <v>85</v>
      </c>
      <c r="B1120">
        <v>1</v>
      </c>
      <c r="C1120" t="s">
        <v>75</v>
      </c>
      <c r="E1120">
        <v>1995</v>
      </c>
      <c r="G1120" t="s">
        <v>9</v>
      </c>
      <c r="H1120" t="s">
        <v>67</v>
      </c>
    </row>
    <row r="1121" spans="1:8" x14ac:dyDescent="0.3">
      <c r="A1121" t="s">
        <v>85</v>
      </c>
      <c r="B1121">
        <v>1</v>
      </c>
      <c r="C1121" t="s">
        <v>75</v>
      </c>
      <c r="E1121">
        <v>1996</v>
      </c>
      <c r="G1121" t="s">
        <v>9</v>
      </c>
      <c r="H1121" t="s">
        <v>67</v>
      </c>
    </row>
    <row r="1122" spans="1:8" x14ac:dyDescent="0.3">
      <c r="A1122" t="s">
        <v>85</v>
      </c>
      <c r="B1122">
        <v>1</v>
      </c>
      <c r="C1122" t="s">
        <v>75</v>
      </c>
      <c r="E1122">
        <v>1997</v>
      </c>
      <c r="G1122" t="s">
        <v>9</v>
      </c>
      <c r="H1122" t="s">
        <v>67</v>
      </c>
    </row>
    <row r="1123" spans="1:8" x14ac:dyDescent="0.3">
      <c r="A1123" t="s">
        <v>85</v>
      </c>
      <c r="B1123">
        <v>1</v>
      </c>
      <c r="C1123" t="s">
        <v>75</v>
      </c>
      <c r="E1123">
        <v>1998</v>
      </c>
      <c r="G1123" t="s">
        <v>9</v>
      </c>
      <c r="H1123" t="s">
        <v>67</v>
      </c>
    </row>
    <row r="1124" spans="1:8" x14ac:dyDescent="0.3">
      <c r="A1124" t="s">
        <v>85</v>
      </c>
      <c r="B1124">
        <v>1</v>
      </c>
      <c r="C1124" t="s">
        <v>75</v>
      </c>
      <c r="E1124">
        <v>1999</v>
      </c>
      <c r="G1124" t="s">
        <v>9</v>
      </c>
      <c r="H1124" t="s">
        <v>67</v>
      </c>
    </row>
    <row r="1125" spans="1:8" x14ac:dyDescent="0.3">
      <c r="A1125" t="s">
        <v>85</v>
      </c>
      <c r="B1125">
        <v>1</v>
      </c>
      <c r="C1125" t="s">
        <v>75</v>
      </c>
      <c r="E1125">
        <v>2000</v>
      </c>
      <c r="G1125" t="s">
        <v>9</v>
      </c>
      <c r="H1125" t="s">
        <v>67</v>
      </c>
    </row>
    <row r="1126" spans="1:8" x14ac:dyDescent="0.3">
      <c r="A1126" t="s">
        <v>85</v>
      </c>
      <c r="B1126">
        <v>1</v>
      </c>
      <c r="C1126" t="s">
        <v>75</v>
      </c>
      <c r="D1126">
        <v>5.7</v>
      </c>
      <c r="E1126">
        <v>2001</v>
      </c>
      <c r="G1126" t="s">
        <v>9</v>
      </c>
      <c r="H1126" t="s">
        <v>67</v>
      </c>
    </row>
    <row r="1127" spans="1:8" x14ac:dyDescent="0.3">
      <c r="A1127" t="s">
        <v>85</v>
      </c>
      <c r="B1127">
        <v>1</v>
      </c>
      <c r="C1127" t="s">
        <v>75</v>
      </c>
      <c r="D1127">
        <v>9.9</v>
      </c>
      <c r="E1127">
        <v>2002</v>
      </c>
      <c r="G1127" t="s">
        <v>9</v>
      </c>
      <c r="H1127" t="s">
        <v>67</v>
      </c>
    </row>
    <row r="1128" spans="1:8" x14ac:dyDescent="0.3">
      <c r="A1128" t="s">
        <v>85</v>
      </c>
      <c r="B1128">
        <v>1</v>
      </c>
      <c r="C1128" t="s">
        <v>75</v>
      </c>
      <c r="D1128">
        <v>3.4</v>
      </c>
      <c r="E1128">
        <v>2003</v>
      </c>
      <c r="G1128" t="s">
        <v>9</v>
      </c>
      <c r="H1128" t="s">
        <v>67</v>
      </c>
    </row>
    <row r="1129" spans="1:8" x14ac:dyDescent="0.3">
      <c r="A1129" t="s">
        <v>85</v>
      </c>
      <c r="B1129">
        <v>1</v>
      </c>
      <c r="C1129" t="s">
        <v>75</v>
      </c>
      <c r="D1129">
        <v>4.5</v>
      </c>
      <c r="E1129">
        <v>2004</v>
      </c>
      <c r="G1129" t="s">
        <v>9</v>
      </c>
      <c r="H1129" t="s">
        <v>67</v>
      </c>
    </row>
    <row r="1130" spans="1:8" x14ac:dyDescent="0.3">
      <c r="A1130" t="s">
        <v>85</v>
      </c>
      <c r="B1130">
        <v>1</v>
      </c>
      <c r="C1130" t="s">
        <v>75</v>
      </c>
      <c r="D1130">
        <v>2.5</v>
      </c>
      <c r="E1130">
        <v>2005</v>
      </c>
      <c r="G1130" t="s">
        <v>9</v>
      </c>
      <c r="H1130" t="s">
        <v>67</v>
      </c>
    </row>
    <row r="1131" spans="1:8" x14ac:dyDescent="0.3">
      <c r="A1131" t="s">
        <v>85</v>
      </c>
      <c r="B1131">
        <v>1</v>
      </c>
      <c r="C1131" t="s">
        <v>75</v>
      </c>
      <c r="D1131">
        <v>3.9</v>
      </c>
      <c r="E1131">
        <v>2006</v>
      </c>
      <c r="G1131" t="s">
        <v>9</v>
      </c>
      <c r="H1131" t="s">
        <v>67</v>
      </c>
    </row>
    <row r="1132" spans="1:8" x14ac:dyDescent="0.3">
      <c r="A1132" t="s">
        <v>85</v>
      </c>
      <c r="B1132">
        <v>1</v>
      </c>
      <c r="C1132" t="s">
        <v>75</v>
      </c>
      <c r="D1132">
        <v>0.8</v>
      </c>
      <c r="E1132">
        <v>2007</v>
      </c>
      <c r="G1132" t="s">
        <v>9</v>
      </c>
      <c r="H1132" t="s">
        <v>67</v>
      </c>
    </row>
    <row r="1133" spans="1:8" x14ac:dyDescent="0.3">
      <c r="A1133" t="s">
        <v>85</v>
      </c>
      <c r="B1133">
        <v>1</v>
      </c>
      <c r="C1133" t="s">
        <v>75</v>
      </c>
      <c r="D1133">
        <v>2.8</v>
      </c>
      <c r="E1133">
        <v>2008</v>
      </c>
      <c r="G1133" t="s">
        <v>9</v>
      </c>
      <c r="H1133" t="s">
        <v>67</v>
      </c>
    </row>
    <row r="1134" spans="1:8" x14ac:dyDescent="0.3">
      <c r="A1134" t="s">
        <v>85</v>
      </c>
      <c r="B1134">
        <v>1</v>
      </c>
      <c r="C1134" t="s">
        <v>75</v>
      </c>
      <c r="D1134">
        <v>1.9</v>
      </c>
      <c r="E1134">
        <v>2009</v>
      </c>
      <c r="G1134" t="s">
        <v>9</v>
      </c>
      <c r="H1134" t="s">
        <v>67</v>
      </c>
    </row>
    <row r="1135" spans="1:8" x14ac:dyDescent="0.3">
      <c r="A1135" t="s">
        <v>85</v>
      </c>
      <c r="B1135">
        <v>1</v>
      </c>
      <c r="C1135" t="s">
        <v>75</v>
      </c>
      <c r="D1135">
        <v>3.4</v>
      </c>
      <c r="E1135">
        <v>2010</v>
      </c>
      <c r="G1135" t="s">
        <v>9</v>
      </c>
      <c r="H1135" t="s">
        <v>67</v>
      </c>
    </row>
    <row r="1136" spans="1:8" x14ac:dyDescent="0.3">
      <c r="A1136" t="s">
        <v>85</v>
      </c>
      <c r="B1136">
        <v>1</v>
      </c>
      <c r="C1136" t="s">
        <v>75</v>
      </c>
      <c r="D1136">
        <v>2.8</v>
      </c>
      <c r="E1136">
        <v>2011</v>
      </c>
      <c r="G1136" t="s">
        <v>9</v>
      </c>
      <c r="H1136" t="s">
        <v>67</v>
      </c>
    </row>
    <row r="1137" spans="1:8" x14ac:dyDescent="0.3">
      <c r="A1137" t="s">
        <v>85</v>
      </c>
      <c r="B1137">
        <v>1</v>
      </c>
      <c r="C1137" t="s">
        <v>75</v>
      </c>
      <c r="E1137">
        <v>2012</v>
      </c>
      <c r="G1137" t="s">
        <v>9</v>
      </c>
      <c r="H1137" t="s">
        <v>67</v>
      </c>
    </row>
    <row r="1138" spans="1:8" x14ac:dyDescent="0.3">
      <c r="A1138" t="s">
        <v>85</v>
      </c>
      <c r="B1138">
        <v>1</v>
      </c>
      <c r="C1138" t="s">
        <v>75</v>
      </c>
      <c r="E1138">
        <v>2013</v>
      </c>
      <c r="G1138" t="s">
        <v>9</v>
      </c>
      <c r="H1138" t="s">
        <v>67</v>
      </c>
    </row>
    <row r="1139" spans="1:8" x14ac:dyDescent="0.3">
      <c r="A1139" t="s">
        <v>85</v>
      </c>
      <c r="B1139">
        <v>1</v>
      </c>
      <c r="C1139" t="s">
        <v>75</v>
      </c>
      <c r="E1139">
        <v>2014</v>
      </c>
      <c r="G1139" t="s">
        <v>9</v>
      </c>
      <c r="H1139" t="s">
        <v>67</v>
      </c>
    </row>
    <row r="1140" spans="1:8" x14ac:dyDescent="0.3">
      <c r="A1140" t="s">
        <v>85</v>
      </c>
      <c r="B1140">
        <v>1</v>
      </c>
      <c r="C1140" t="s">
        <v>75</v>
      </c>
      <c r="E1140">
        <v>2015</v>
      </c>
      <c r="G1140" t="s">
        <v>9</v>
      </c>
      <c r="H1140" t="s">
        <v>67</v>
      </c>
    </row>
    <row r="1141" spans="1:8" x14ac:dyDescent="0.3">
      <c r="A1141" t="s">
        <v>85</v>
      </c>
      <c r="B1141">
        <v>1</v>
      </c>
      <c r="C1141" t="s">
        <v>75</v>
      </c>
      <c r="E1141">
        <v>2016</v>
      </c>
      <c r="G1141" t="s">
        <v>9</v>
      </c>
      <c r="H1141" t="s">
        <v>67</v>
      </c>
    </row>
    <row r="1142" spans="1:8" x14ac:dyDescent="0.3">
      <c r="A1142" t="s">
        <v>85</v>
      </c>
      <c r="B1142">
        <v>1</v>
      </c>
      <c r="C1142" t="s">
        <v>75</v>
      </c>
      <c r="D1142">
        <v>0.2</v>
      </c>
      <c r="E1142">
        <v>2017</v>
      </c>
      <c r="G1142" t="s">
        <v>9</v>
      </c>
      <c r="H1142" t="s">
        <v>67</v>
      </c>
    </row>
    <row r="1143" spans="1:8" x14ac:dyDescent="0.3">
      <c r="A1143" t="s">
        <v>85</v>
      </c>
      <c r="B1143">
        <v>1</v>
      </c>
      <c r="C1143" t="s">
        <v>75</v>
      </c>
      <c r="E1143">
        <v>2018</v>
      </c>
      <c r="G1143" t="s">
        <v>9</v>
      </c>
      <c r="H1143" t="s">
        <v>67</v>
      </c>
    </row>
    <row r="1144" spans="1:8" x14ac:dyDescent="0.3">
      <c r="A1144" t="s">
        <v>85</v>
      </c>
      <c r="B1144">
        <v>1</v>
      </c>
      <c r="C1144" t="s">
        <v>75</v>
      </c>
      <c r="E1144">
        <v>2019</v>
      </c>
      <c r="G1144" t="s">
        <v>9</v>
      </c>
      <c r="H1144" t="s">
        <v>67</v>
      </c>
    </row>
    <row r="1145" spans="1:8" x14ac:dyDescent="0.3">
      <c r="A1145" t="s">
        <v>85</v>
      </c>
      <c r="B1145">
        <v>1</v>
      </c>
      <c r="C1145" t="s">
        <v>75</v>
      </c>
      <c r="D1145">
        <v>0</v>
      </c>
      <c r="E1145">
        <v>2020</v>
      </c>
      <c r="G1145" t="s">
        <v>9</v>
      </c>
      <c r="H1145" t="s">
        <v>67</v>
      </c>
    </row>
    <row r="1146" spans="1:8" x14ac:dyDescent="0.3">
      <c r="A1146" t="s">
        <v>86</v>
      </c>
      <c r="B1146">
        <v>1</v>
      </c>
      <c r="C1146" t="s">
        <v>76</v>
      </c>
      <c r="D1146">
        <v>0</v>
      </c>
      <c r="E1146">
        <v>1975</v>
      </c>
      <c r="G1146" t="s">
        <v>9</v>
      </c>
      <c r="H1146" t="s">
        <v>67</v>
      </c>
    </row>
    <row r="1147" spans="1:8" x14ac:dyDescent="0.3">
      <c r="A1147" t="s">
        <v>86</v>
      </c>
      <c r="B1147">
        <v>1</v>
      </c>
      <c r="C1147" t="s">
        <v>76</v>
      </c>
      <c r="E1147">
        <v>1976</v>
      </c>
      <c r="G1147" t="s">
        <v>9</v>
      </c>
      <c r="H1147" t="s">
        <v>67</v>
      </c>
    </row>
    <row r="1148" spans="1:8" x14ac:dyDescent="0.3">
      <c r="A1148" t="s">
        <v>86</v>
      </c>
      <c r="B1148">
        <v>1</v>
      </c>
      <c r="C1148" t="s">
        <v>76</v>
      </c>
      <c r="E1148">
        <v>1977</v>
      </c>
      <c r="G1148" t="s">
        <v>9</v>
      </c>
      <c r="H1148" t="s">
        <v>67</v>
      </c>
    </row>
    <row r="1149" spans="1:8" x14ac:dyDescent="0.3">
      <c r="A1149" t="s">
        <v>86</v>
      </c>
      <c r="B1149">
        <v>1</v>
      </c>
      <c r="C1149" t="s">
        <v>76</v>
      </c>
      <c r="E1149">
        <v>1978</v>
      </c>
      <c r="G1149" t="s">
        <v>9</v>
      </c>
      <c r="H1149" t="s">
        <v>67</v>
      </c>
    </row>
    <row r="1150" spans="1:8" x14ac:dyDescent="0.3">
      <c r="A1150" t="s">
        <v>86</v>
      </c>
      <c r="B1150">
        <v>1</v>
      </c>
      <c r="C1150" t="s">
        <v>76</v>
      </c>
      <c r="E1150">
        <v>1979</v>
      </c>
      <c r="G1150" t="s">
        <v>9</v>
      </c>
      <c r="H1150" t="s">
        <v>67</v>
      </c>
    </row>
    <row r="1151" spans="1:8" x14ac:dyDescent="0.3">
      <c r="A1151" t="s">
        <v>86</v>
      </c>
      <c r="B1151">
        <v>1</v>
      </c>
      <c r="C1151" t="s">
        <v>76</v>
      </c>
      <c r="E1151">
        <v>1980</v>
      </c>
      <c r="G1151" t="s">
        <v>9</v>
      </c>
      <c r="H1151" t="s">
        <v>67</v>
      </c>
    </row>
    <row r="1152" spans="1:8" x14ac:dyDescent="0.3">
      <c r="A1152" t="s">
        <v>86</v>
      </c>
      <c r="B1152">
        <v>1</v>
      </c>
      <c r="C1152" t="s">
        <v>76</v>
      </c>
      <c r="E1152">
        <v>1981</v>
      </c>
      <c r="G1152" t="s">
        <v>9</v>
      </c>
      <c r="H1152" t="s">
        <v>67</v>
      </c>
    </row>
    <row r="1153" spans="1:8" x14ac:dyDescent="0.3">
      <c r="A1153" t="s">
        <v>86</v>
      </c>
      <c r="B1153">
        <v>1</v>
      </c>
      <c r="C1153" t="s">
        <v>76</v>
      </c>
      <c r="E1153">
        <v>1982</v>
      </c>
      <c r="G1153" t="s">
        <v>9</v>
      </c>
      <c r="H1153" t="s">
        <v>67</v>
      </c>
    </row>
    <row r="1154" spans="1:8" x14ac:dyDescent="0.3">
      <c r="A1154" t="s">
        <v>86</v>
      </c>
      <c r="B1154">
        <v>1</v>
      </c>
      <c r="C1154" t="s">
        <v>76</v>
      </c>
      <c r="E1154">
        <v>1983</v>
      </c>
      <c r="G1154" t="s">
        <v>9</v>
      </c>
      <c r="H1154" t="s">
        <v>67</v>
      </c>
    </row>
    <row r="1155" spans="1:8" x14ac:dyDescent="0.3">
      <c r="A1155" t="s">
        <v>86</v>
      </c>
      <c r="B1155">
        <v>1</v>
      </c>
      <c r="C1155" t="s">
        <v>76</v>
      </c>
      <c r="E1155">
        <v>1984</v>
      </c>
      <c r="G1155" t="s">
        <v>9</v>
      </c>
      <c r="H1155" t="s">
        <v>67</v>
      </c>
    </row>
    <row r="1156" spans="1:8" x14ac:dyDescent="0.3">
      <c r="A1156" t="s">
        <v>86</v>
      </c>
      <c r="B1156">
        <v>1</v>
      </c>
      <c r="C1156" t="s">
        <v>76</v>
      </c>
      <c r="E1156">
        <v>1985</v>
      </c>
      <c r="G1156" t="s">
        <v>9</v>
      </c>
      <c r="H1156" t="s">
        <v>67</v>
      </c>
    </row>
    <row r="1157" spans="1:8" x14ac:dyDescent="0.3">
      <c r="A1157" t="s">
        <v>86</v>
      </c>
      <c r="B1157">
        <v>1</v>
      </c>
      <c r="C1157" t="s">
        <v>76</v>
      </c>
      <c r="E1157">
        <v>1986</v>
      </c>
      <c r="G1157" t="s">
        <v>9</v>
      </c>
      <c r="H1157" t="s">
        <v>67</v>
      </c>
    </row>
    <row r="1158" spans="1:8" x14ac:dyDescent="0.3">
      <c r="A1158" t="s">
        <v>86</v>
      </c>
      <c r="B1158">
        <v>1</v>
      </c>
      <c r="C1158" t="s">
        <v>76</v>
      </c>
      <c r="D1158">
        <v>0</v>
      </c>
      <c r="E1158">
        <v>1987</v>
      </c>
      <c r="G1158" t="s">
        <v>9</v>
      </c>
      <c r="H1158" t="s">
        <v>67</v>
      </c>
    </row>
    <row r="1159" spans="1:8" x14ac:dyDescent="0.3">
      <c r="A1159" t="s">
        <v>86</v>
      </c>
      <c r="B1159">
        <v>1</v>
      </c>
      <c r="C1159" t="s">
        <v>76</v>
      </c>
      <c r="E1159">
        <v>1988</v>
      </c>
      <c r="G1159" t="s">
        <v>9</v>
      </c>
      <c r="H1159" t="s">
        <v>67</v>
      </c>
    </row>
    <row r="1160" spans="1:8" x14ac:dyDescent="0.3">
      <c r="A1160" t="s">
        <v>86</v>
      </c>
      <c r="B1160">
        <v>1</v>
      </c>
      <c r="C1160" t="s">
        <v>76</v>
      </c>
      <c r="E1160">
        <v>1989</v>
      </c>
      <c r="G1160" t="s">
        <v>9</v>
      </c>
      <c r="H1160" t="s">
        <v>67</v>
      </c>
    </row>
    <row r="1161" spans="1:8" x14ac:dyDescent="0.3">
      <c r="A1161" t="s">
        <v>86</v>
      </c>
      <c r="B1161">
        <v>1</v>
      </c>
      <c r="C1161" t="s">
        <v>76</v>
      </c>
      <c r="E1161">
        <v>1990</v>
      </c>
      <c r="G1161" t="s">
        <v>9</v>
      </c>
      <c r="H1161" t="s">
        <v>67</v>
      </c>
    </row>
    <row r="1162" spans="1:8" x14ac:dyDescent="0.3">
      <c r="A1162" t="s">
        <v>86</v>
      </c>
      <c r="B1162">
        <v>1</v>
      </c>
      <c r="C1162" t="s">
        <v>76</v>
      </c>
      <c r="E1162">
        <v>1991</v>
      </c>
      <c r="G1162" t="s">
        <v>9</v>
      </c>
      <c r="H1162" t="s">
        <v>67</v>
      </c>
    </row>
    <row r="1163" spans="1:8" x14ac:dyDescent="0.3">
      <c r="A1163" t="s">
        <v>86</v>
      </c>
      <c r="B1163">
        <v>1</v>
      </c>
      <c r="C1163" t="s">
        <v>76</v>
      </c>
      <c r="E1163">
        <v>1992</v>
      </c>
      <c r="G1163" t="s">
        <v>9</v>
      </c>
      <c r="H1163" t="s">
        <v>67</v>
      </c>
    </row>
    <row r="1164" spans="1:8" x14ac:dyDescent="0.3">
      <c r="A1164" t="s">
        <v>86</v>
      </c>
      <c r="B1164">
        <v>1</v>
      </c>
      <c r="C1164" t="s">
        <v>76</v>
      </c>
      <c r="E1164">
        <v>1993</v>
      </c>
      <c r="G1164" t="s">
        <v>9</v>
      </c>
      <c r="H1164" t="s">
        <v>67</v>
      </c>
    </row>
    <row r="1165" spans="1:8" x14ac:dyDescent="0.3">
      <c r="A1165" t="s">
        <v>86</v>
      </c>
      <c r="B1165">
        <v>1</v>
      </c>
      <c r="C1165" t="s">
        <v>76</v>
      </c>
      <c r="D1165">
        <v>0.8</v>
      </c>
      <c r="E1165">
        <v>1994</v>
      </c>
      <c r="G1165" t="s">
        <v>9</v>
      </c>
      <c r="H1165" t="s">
        <v>67</v>
      </c>
    </row>
    <row r="1166" spans="1:8" x14ac:dyDescent="0.3">
      <c r="A1166" t="s">
        <v>86</v>
      </c>
      <c r="B1166">
        <v>1</v>
      </c>
      <c r="C1166" t="s">
        <v>76</v>
      </c>
      <c r="E1166">
        <v>1995</v>
      </c>
      <c r="G1166" t="s">
        <v>9</v>
      </c>
      <c r="H1166" t="s">
        <v>67</v>
      </c>
    </row>
    <row r="1167" spans="1:8" x14ac:dyDescent="0.3">
      <c r="A1167" t="s">
        <v>86</v>
      </c>
      <c r="B1167">
        <v>1</v>
      </c>
      <c r="C1167" t="s">
        <v>76</v>
      </c>
      <c r="E1167">
        <v>1996</v>
      </c>
      <c r="G1167" t="s">
        <v>9</v>
      </c>
      <c r="H1167" t="s">
        <v>67</v>
      </c>
    </row>
    <row r="1168" spans="1:8" x14ac:dyDescent="0.3">
      <c r="A1168" t="s">
        <v>86</v>
      </c>
      <c r="B1168">
        <v>1</v>
      </c>
      <c r="C1168" t="s">
        <v>76</v>
      </c>
      <c r="E1168">
        <v>1997</v>
      </c>
      <c r="G1168" t="s">
        <v>9</v>
      </c>
      <c r="H1168" t="s">
        <v>67</v>
      </c>
    </row>
    <row r="1169" spans="1:8" x14ac:dyDescent="0.3">
      <c r="A1169" t="s">
        <v>86</v>
      </c>
      <c r="B1169">
        <v>1</v>
      </c>
      <c r="C1169" t="s">
        <v>76</v>
      </c>
      <c r="E1169">
        <v>1998</v>
      </c>
      <c r="G1169" t="s">
        <v>9</v>
      </c>
      <c r="H1169" t="s">
        <v>67</v>
      </c>
    </row>
    <row r="1170" spans="1:8" x14ac:dyDescent="0.3">
      <c r="A1170" t="s">
        <v>86</v>
      </c>
      <c r="B1170">
        <v>1</v>
      </c>
      <c r="C1170" t="s">
        <v>76</v>
      </c>
      <c r="E1170">
        <v>1999</v>
      </c>
      <c r="G1170" t="s">
        <v>9</v>
      </c>
      <c r="H1170" t="s">
        <v>67</v>
      </c>
    </row>
    <row r="1171" spans="1:8" x14ac:dyDescent="0.3">
      <c r="A1171" t="s">
        <v>86</v>
      </c>
      <c r="B1171">
        <v>1</v>
      </c>
      <c r="C1171" t="s">
        <v>76</v>
      </c>
      <c r="E1171">
        <v>2000</v>
      </c>
      <c r="G1171" t="s">
        <v>9</v>
      </c>
      <c r="H1171" t="s">
        <v>67</v>
      </c>
    </row>
    <row r="1172" spans="1:8" x14ac:dyDescent="0.3">
      <c r="A1172" t="s">
        <v>86</v>
      </c>
      <c r="B1172">
        <v>1</v>
      </c>
      <c r="C1172" t="s">
        <v>76</v>
      </c>
      <c r="D1172">
        <v>11.9</v>
      </c>
      <c r="E1172">
        <v>2001</v>
      </c>
      <c r="G1172" t="s">
        <v>9</v>
      </c>
      <c r="H1172" t="s">
        <v>67</v>
      </c>
    </row>
    <row r="1173" spans="1:8" x14ac:dyDescent="0.3">
      <c r="A1173" t="s">
        <v>86</v>
      </c>
      <c r="B1173">
        <v>1</v>
      </c>
      <c r="C1173" t="s">
        <v>76</v>
      </c>
      <c r="D1173">
        <v>15.1</v>
      </c>
      <c r="E1173">
        <v>2002</v>
      </c>
      <c r="G1173" t="s">
        <v>9</v>
      </c>
      <c r="H1173" t="s">
        <v>67</v>
      </c>
    </row>
    <row r="1174" spans="1:8" x14ac:dyDescent="0.3">
      <c r="A1174" t="s">
        <v>86</v>
      </c>
      <c r="B1174">
        <v>1</v>
      </c>
      <c r="C1174" t="s">
        <v>76</v>
      </c>
      <c r="D1174">
        <v>11.7</v>
      </c>
      <c r="E1174">
        <v>2003</v>
      </c>
      <c r="G1174" t="s">
        <v>9</v>
      </c>
      <c r="H1174" t="s">
        <v>67</v>
      </c>
    </row>
    <row r="1175" spans="1:8" x14ac:dyDescent="0.3">
      <c r="A1175" t="s">
        <v>86</v>
      </c>
      <c r="B1175">
        <v>1</v>
      </c>
      <c r="C1175" t="s">
        <v>76</v>
      </c>
      <c r="D1175">
        <v>17.899999999999999</v>
      </c>
      <c r="E1175">
        <v>2004</v>
      </c>
      <c r="G1175" t="s">
        <v>9</v>
      </c>
      <c r="H1175" t="s">
        <v>67</v>
      </c>
    </row>
    <row r="1176" spans="1:8" x14ac:dyDescent="0.3">
      <c r="A1176" t="s">
        <v>86</v>
      </c>
      <c r="B1176">
        <v>1</v>
      </c>
      <c r="C1176" t="s">
        <v>76</v>
      </c>
      <c r="D1176">
        <v>15.3</v>
      </c>
      <c r="E1176">
        <v>2005</v>
      </c>
      <c r="G1176" t="s">
        <v>9</v>
      </c>
      <c r="H1176" t="s">
        <v>67</v>
      </c>
    </row>
    <row r="1177" spans="1:8" x14ac:dyDescent="0.3">
      <c r="A1177" t="s">
        <v>86</v>
      </c>
      <c r="B1177">
        <v>1</v>
      </c>
      <c r="C1177" t="s">
        <v>76</v>
      </c>
      <c r="D1177">
        <v>11.5</v>
      </c>
      <c r="E1177">
        <v>2006</v>
      </c>
      <c r="G1177" t="s">
        <v>9</v>
      </c>
      <c r="H1177" t="s">
        <v>67</v>
      </c>
    </row>
    <row r="1178" spans="1:8" x14ac:dyDescent="0.3">
      <c r="A1178" t="s">
        <v>86</v>
      </c>
      <c r="B1178">
        <v>1</v>
      </c>
      <c r="C1178" t="s">
        <v>76</v>
      </c>
      <c r="D1178">
        <v>8</v>
      </c>
      <c r="E1178">
        <v>2007</v>
      </c>
      <c r="G1178" t="s">
        <v>9</v>
      </c>
      <c r="H1178" t="s">
        <v>67</v>
      </c>
    </row>
    <row r="1179" spans="1:8" x14ac:dyDescent="0.3">
      <c r="A1179" t="s">
        <v>86</v>
      </c>
      <c r="B1179">
        <v>1</v>
      </c>
      <c r="C1179" t="s">
        <v>76</v>
      </c>
      <c r="D1179">
        <v>12.3</v>
      </c>
      <c r="E1179">
        <v>2008</v>
      </c>
      <c r="G1179" t="s">
        <v>9</v>
      </c>
      <c r="H1179" t="s">
        <v>67</v>
      </c>
    </row>
    <row r="1180" spans="1:8" x14ac:dyDescent="0.3">
      <c r="A1180" t="s">
        <v>86</v>
      </c>
      <c r="B1180">
        <v>1</v>
      </c>
      <c r="C1180" t="s">
        <v>76</v>
      </c>
      <c r="E1180">
        <v>2009</v>
      </c>
      <c r="G1180" t="s">
        <v>9</v>
      </c>
      <c r="H1180" t="s">
        <v>67</v>
      </c>
    </row>
    <row r="1181" spans="1:8" x14ac:dyDescent="0.3">
      <c r="A1181" t="s">
        <v>86</v>
      </c>
      <c r="B1181">
        <v>1</v>
      </c>
      <c r="C1181" t="s">
        <v>76</v>
      </c>
      <c r="D1181">
        <v>10.9</v>
      </c>
      <c r="E1181">
        <v>2010</v>
      </c>
      <c r="G1181" t="s">
        <v>9</v>
      </c>
      <c r="H1181" t="s">
        <v>67</v>
      </c>
    </row>
    <row r="1182" spans="1:8" x14ac:dyDescent="0.3">
      <c r="A1182" t="s">
        <v>86</v>
      </c>
      <c r="B1182">
        <v>1</v>
      </c>
      <c r="C1182" t="s">
        <v>76</v>
      </c>
      <c r="D1182">
        <v>13.9</v>
      </c>
      <c r="E1182">
        <v>2011</v>
      </c>
      <c r="G1182" t="s">
        <v>9</v>
      </c>
      <c r="H1182" t="s">
        <v>67</v>
      </c>
    </row>
    <row r="1183" spans="1:8" x14ac:dyDescent="0.3">
      <c r="A1183" t="s">
        <v>86</v>
      </c>
      <c r="B1183">
        <v>1</v>
      </c>
      <c r="C1183" t="s">
        <v>76</v>
      </c>
      <c r="E1183">
        <v>2012</v>
      </c>
      <c r="G1183" t="s">
        <v>9</v>
      </c>
      <c r="H1183" t="s">
        <v>67</v>
      </c>
    </row>
    <row r="1184" spans="1:8" x14ac:dyDescent="0.3">
      <c r="A1184" t="s">
        <v>86</v>
      </c>
      <c r="B1184">
        <v>1</v>
      </c>
      <c r="C1184" t="s">
        <v>76</v>
      </c>
      <c r="E1184">
        <v>2013</v>
      </c>
      <c r="G1184" t="s">
        <v>9</v>
      </c>
      <c r="H1184" t="s">
        <v>67</v>
      </c>
    </row>
    <row r="1185" spans="1:8" x14ac:dyDescent="0.3">
      <c r="A1185" t="s">
        <v>86</v>
      </c>
      <c r="B1185">
        <v>1</v>
      </c>
      <c r="C1185" t="s">
        <v>76</v>
      </c>
      <c r="D1185">
        <v>8.5</v>
      </c>
      <c r="E1185">
        <v>2014</v>
      </c>
      <c r="G1185" t="s">
        <v>9</v>
      </c>
      <c r="H1185" t="s">
        <v>67</v>
      </c>
    </row>
    <row r="1186" spans="1:8" x14ac:dyDescent="0.3">
      <c r="A1186" t="s">
        <v>86</v>
      </c>
      <c r="B1186">
        <v>1</v>
      </c>
      <c r="C1186" t="s">
        <v>76</v>
      </c>
      <c r="E1186">
        <v>2015</v>
      </c>
      <c r="G1186" t="s">
        <v>9</v>
      </c>
      <c r="H1186" t="s">
        <v>67</v>
      </c>
    </row>
    <row r="1187" spans="1:8" x14ac:dyDescent="0.3">
      <c r="A1187" t="s">
        <v>86</v>
      </c>
      <c r="B1187">
        <v>1</v>
      </c>
      <c r="C1187" t="s">
        <v>76</v>
      </c>
      <c r="E1187">
        <v>2016</v>
      </c>
      <c r="G1187" t="s">
        <v>9</v>
      </c>
      <c r="H1187" t="s">
        <v>67</v>
      </c>
    </row>
    <row r="1188" spans="1:8" x14ac:dyDescent="0.3">
      <c r="A1188" t="s">
        <v>86</v>
      </c>
      <c r="B1188">
        <v>1</v>
      </c>
      <c r="C1188" t="s">
        <v>76</v>
      </c>
      <c r="D1188">
        <v>5</v>
      </c>
      <c r="E1188">
        <v>2017</v>
      </c>
      <c r="G1188" t="s">
        <v>9</v>
      </c>
      <c r="H1188" t="s">
        <v>67</v>
      </c>
    </row>
    <row r="1189" spans="1:8" x14ac:dyDescent="0.3">
      <c r="A1189" t="s">
        <v>86</v>
      </c>
      <c r="B1189">
        <v>1</v>
      </c>
      <c r="C1189" t="s">
        <v>76</v>
      </c>
      <c r="E1189">
        <v>2018</v>
      </c>
      <c r="G1189" t="s">
        <v>9</v>
      </c>
      <c r="H1189" t="s">
        <v>67</v>
      </c>
    </row>
    <row r="1190" spans="1:8" x14ac:dyDescent="0.3">
      <c r="A1190" t="s">
        <v>86</v>
      </c>
      <c r="B1190">
        <v>1</v>
      </c>
      <c r="C1190" t="s">
        <v>76</v>
      </c>
      <c r="D1190">
        <v>2.4</v>
      </c>
      <c r="E1190">
        <v>2019</v>
      </c>
      <c r="G1190" t="s">
        <v>9</v>
      </c>
      <c r="H1190" t="s">
        <v>67</v>
      </c>
    </row>
    <row r="1191" spans="1:8" x14ac:dyDescent="0.3">
      <c r="A1191" t="s">
        <v>86</v>
      </c>
      <c r="B1191">
        <v>1</v>
      </c>
      <c r="C1191" t="s">
        <v>76</v>
      </c>
      <c r="D1191">
        <v>1.56</v>
      </c>
      <c r="E1191">
        <v>2020</v>
      </c>
      <c r="G1191" t="s">
        <v>9</v>
      </c>
      <c r="H1191" t="s">
        <v>67</v>
      </c>
    </row>
    <row r="1192" spans="1:8" x14ac:dyDescent="0.3">
      <c r="A1192" t="s">
        <v>87</v>
      </c>
      <c r="B1192">
        <v>1</v>
      </c>
      <c r="C1192" t="s">
        <v>77</v>
      </c>
      <c r="D1192">
        <v>0</v>
      </c>
      <c r="E1192">
        <v>1975</v>
      </c>
      <c r="G1192" t="s">
        <v>9</v>
      </c>
      <c r="H1192" t="s">
        <v>67</v>
      </c>
    </row>
    <row r="1193" spans="1:8" x14ac:dyDescent="0.3">
      <c r="A1193" t="s">
        <v>87</v>
      </c>
      <c r="B1193">
        <v>1</v>
      </c>
      <c r="C1193" t="s">
        <v>77</v>
      </c>
      <c r="E1193">
        <v>1976</v>
      </c>
      <c r="G1193" t="s">
        <v>9</v>
      </c>
      <c r="H1193" t="s">
        <v>67</v>
      </c>
    </row>
    <row r="1194" spans="1:8" x14ac:dyDescent="0.3">
      <c r="A1194" t="s">
        <v>87</v>
      </c>
      <c r="B1194">
        <v>1</v>
      </c>
      <c r="C1194" t="s">
        <v>77</v>
      </c>
      <c r="E1194">
        <v>1977</v>
      </c>
      <c r="G1194" t="s">
        <v>9</v>
      </c>
      <c r="H1194" t="s">
        <v>67</v>
      </c>
    </row>
    <row r="1195" spans="1:8" x14ac:dyDescent="0.3">
      <c r="A1195" t="s">
        <v>87</v>
      </c>
      <c r="B1195">
        <v>1</v>
      </c>
      <c r="C1195" t="s">
        <v>77</v>
      </c>
      <c r="E1195">
        <v>1978</v>
      </c>
      <c r="G1195" t="s">
        <v>9</v>
      </c>
      <c r="H1195" t="s">
        <v>67</v>
      </c>
    </row>
    <row r="1196" spans="1:8" x14ac:dyDescent="0.3">
      <c r="A1196" t="s">
        <v>87</v>
      </c>
      <c r="B1196">
        <v>1</v>
      </c>
      <c r="C1196" t="s">
        <v>77</v>
      </c>
      <c r="E1196">
        <v>1979</v>
      </c>
      <c r="G1196" t="s">
        <v>9</v>
      </c>
      <c r="H1196" t="s">
        <v>67</v>
      </c>
    </row>
    <row r="1197" spans="1:8" x14ac:dyDescent="0.3">
      <c r="A1197" t="s">
        <v>87</v>
      </c>
      <c r="B1197">
        <v>1</v>
      </c>
      <c r="C1197" t="s">
        <v>77</v>
      </c>
      <c r="E1197">
        <v>1980</v>
      </c>
      <c r="G1197" t="s">
        <v>9</v>
      </c>
      <c r="H1197" t="s">
        <v>67</v>
      </c>
    </row>
    <row r="1198" spans="1:8" x14ac:dyDescent="0.3">
      <c r="A1198" t="s">
        <v>87</v>
      </c>
      <c r="B1198">
        <v>1</v>
      </c>
      <c r="C1198" t="s">
        <v>77</v>
      </c>
      <c r="E1198">
        <v>1981</v>
      </c>
      <c r="G1198" t="s">
        <v>9</v>
      </c>
      <c r="H1198" t="s">
        <v>67</v>
      </c>
    </row>
    <row r="1199" spans="1:8" x14ac:dyDescent="0.3">
      <c r="A1199" t="s">
        <v>87</v>
      </c>
      <c r="B1199">
        <v>1</v>
      </c>
      <c r="C1199" t="s">
        <v>77</v>
      </c>
      <c r="E1199">
        <v>1982</v>
      </c>
      <c r="G1199" t="s">
        <v>9</v>
      </c>
      <c r="H1199" t="s">
        <v>67</v>
      </c>
    </row>
    <row r="1200" spans="1:8" x14ac:dyDescent="0.3">
      <c r="A1200" t="s">
        <v>87</v>
      </c>
      <c r="B1200">
        <v>1</v>
      </c>
      <c r="C1200" t="s">
        <v>77</v>
      </c>
      <c r="E1200">
        <v>1983</v>
      </c>
      <c r="G1200" t="s">
        <v>9</v>
      </c>
      <c r="H1200" t="s">
        <v>67</v>
      </c>
    </row>
    <row r="1201" spans="1:8" x14ac:dyDescent="0.3">
      <c r="A1201" t="s">
        <v>87</v>
      </c>
      <c r="B1201">
        <v>1</v>
      </c>
      <c r="C1201" t="s">
        <v>77</v>
      </c>
      <c r="E1201">
        <v>1984</v>
      </c>
      <c r="G1201" t="s">
        <v>9</v>
      </c>
      <c r="H1201" t="s">
        <v>67</v>
      </c>
    </row>
    <row r="1202" spans="1:8" x14ac:dyDescent="0.3">
      <c r="A1202" t="s">
        <v>87</v>
      </c>
      <c r="B1202">
        <v>1</v>
      </c>
      <c r="C1202" t="s">
        <v>77</v>
      </c>
      <c r="E1202">
        <v>1985</v>
      </c>
      <c r="G1202" t="s">
        <v>9</v>
      </c>
      <c r="H1202" t="s">
        <v>67</v>
      </c>
    </row>
    <row r="1203" spans="1:8" x14ac:dyDescent="0.3">
      <c r="A1203" t="s">
        <v>87</v>
      </c>
      <c r="B1203">
        <v>1</v>
      </c>
      <c r="C1203" t="s">
        <v>77</v>
      </c>
      <c r="E1203">
        <v>1986</v>
      </c>
      <c r="G1203" t="s">
        <v>9</v>
      </c>
      <c r="H1203" t="s">
        <v>67</v>
      </c>
    </row>
    <row r="1204" spans="1:8" x14ac:dyDescent="0.3">
      <c r="A1204" t="s">
        <v>87</v>
      </c>
      <c r="B1204">
        <v>1</v>
      </c>
      <c r="C1204" t="s">
        <v>77</v>
      </c>
      <c r="D1204">
        <v>28.3</v>
      </c>
      <c r="E1204">
        <v>1987</v>
      </c>
      <c r="G1204" t="s">
        <v>9</v>
      </c>
      <c r="H1204" t="s">
        <v>67</v>
      </c>
    </row>
    <row r="1205" spans="1:8" x14ac:dyDescent="0.3">
      <c r="A1205" t="s">
        <v>87</v>
      </c>
      <c r="B1205">
        <v>1</v>
      </c>
      <c r="C1205" t="s">
        <v>77</v>
      </c>
      <c r="E1205">
        <v>1988</v>
      </c>
      <c r="G1205" t="s">
        <v>9</v>
      </c>
      <c r="H1205" t="s">
        <v>67</v>
      </c>
    </row>
    <row r="1206" spans="1:8" x14ac:dyDescent="0.3">
      <c r="A1206" t="s">
        <v>87</v>
      </c>
      <c r="B1206">
        <v>1</v>
      </c>
      <c r="C1206" t="s">
        <v>77</v>
      </c>
      <c r="E1206">
        <v>1989</v>
      </c>
      <c r="G1206" t="s">
        <v>9</v>
      </c>
      <c r="H1206" t="s">
        <v>67</v>
      </c>
    </row>
    <row r="1207" spans="1:8" x14ac:dyDescent="0.3">
      <c r="A1207" t="s">
        <v>87</v>
      </c>
      <c r="B1207">
        <v>1</v>
      </c>
      <c r="C1207" t="s">
        <v>77</v>
      </c>
      <c r="E1207">
        <v>1990</v>
      </c>
      <c r="G1207" t="s">
        <v>9</v>
      </c>
      <c r="H1207" t="s">
        <v>67</v>
      </c>
    </row>
    <row r="1208" spans="1:8" x14ac:dyDescent="0.3">
      <c r="A1208" t="s">
        <v>87</v>
      </c>
      <c r="B1208">
        <v>1</v>
      </c>
      <c r="C1208" t="s">
        <v>77</v>
      </c>
      <c r="E1208">
        <v>1991</v>
      </c>
      <c r="G1208" t="s">
        <v>9</v>
      </c>
      <c r="H1208" t="s">
        <v>67</v>
      </c>
    </row>
    <row r="1209" spans="1:8" x14ac:dyDescent="0.3">
      <c r="A1209" t="s">
        <v>87</v>
      </c>
      <c r="B1209">
        <v>1</v>
      </c>
      <c r="C1209" t="s">
        <v>77</v>
      </c>
      <c r="E1209">
        <v>1992</v>
      </c>
      <c r="G1209" t="s">
        <v>9</v>
      </c>
      <c r="H1209" t="s">
        <v>67</v>
      </c>
    </row>
    <row r="1210" spans="1:8" x14ac:dyDescent="0.3">
      <c r="A1210" t="s">
        <v>87</v>
      </c>
      <c r="B1210">
        <v>1</v>
      </c>
      <c r="C1210" t="s">
        <v>77</v>
      </c>
      <c r="E1210">
        <v>1993</v>
      </c>
      <c r="G1210" t="s">
        <v>9</v>
      </c>
      <c r="H1210" t="s">
        <v>67</v>
      </c>
    </row>
    <row r="1211" spans="1:8" x14ac:dyDescent="0.3">
      <c r="A1211" t="s">
        <v>87</v>
      </c>
      <c r="B1211">
        <v>1</v>
      </c>
      <c r="C1211" t="s">
        <v>77</v>
      </c>
      <c r="E1211">
        <v>1994</v>
      </c>
      <c r="G1211" t="s">
        <v>9</v>
      </c>
      <c r="H1211" t="s">
        <v>67</v>
      </c>
    </row>
    <row r="1212" spans="1:8" x14ac:dyDescent="0.3">
      <c r="A1212" t="s">
        <v>87</v>
      </c>
      <c r="B1212">
        <v>1</v>
      </c>
      <c r="C1212" t="s">
        <v>77</v>
      </c>
      <c r="E1212">
        <v>1995</v>
      </c>
      <c r="G1212" t="s">
        <v>9</v>
      </c>
      <c r="H1212" t="s">
        <v>67</v>
      </c>
    </row>
    <row r="1213" spans="1:8" x14ac:dyDescent="0.3">
      <c r="A1213" t="s">
        <v>87</v>
      </c>
      <c r="B1213">
        <v>1</v>
      </c>
      <c r="C1213" t="s">
        <v>77</v>
      </c>
      <c r="E1213">
        <v>1996</v>
      </c>
      <c r="G1213" t="s">
        <v>9</v>
      </c>
      <c r="H1213" t="s">
        <v>67</v>
      </c>
    </row>
    <row r="1214" spans="1:8" x14ac:dyDescent="0.3">
      <c r="A1214" t="s">
        <v>87</v>
      </c>
      <c r="B1214">
        <v>1</v>
      </c>
      <c r="C1214" t="s">
        <v>77</v>
      </c>
      <c r="E1214">
        <v>1997</v>
      </c>
      <c r="G1214" t="s">
        <v>9</v>
      </c>
      <c r="H1214" t="s">
        <v>67</v>
      </c>
    </row>
    <row r="1215" spans="1:8" x14ac:dyDescent="0.3">
      <c r="A1215" t="s">
        <v>87</v>
      </c>
      <c r="B1215">
        <v>1</v>
      </c>
      <c r="C1215" t="s">
        <v>77</v>
      </c>
      <c r="E1215">
        <v>1998</v>
      </c>
      <c r="G1215" t="s">
        <v>9</v>
      </c>
      <c r="H1215" t="s">
        <v>67</v>
      </c>
    </row>
    <row r="1216" spans="1:8" x14ac:dyDescent="0.3">
      <c r="A1216" t="s">
        <v>87</v>
      </c>
      <c r="B1216">
        <v>1</v>
      </c>
      <c r="C1216" t="s">
        <v>77</v>
      </c>
      <c r="E1216">
        <v>1999</v>
      </c>
      <c r="G1216" t="s">
        <v>9</v>
      </c>
      <c r="H1216" t="s">
        <v>67</v>
      </c>
    </row>
    <row r="1217" spans="1:8" x14ac:dyDescent="0.3">
      <c r="A1217" t="s">
        <v>87</v>
      </c>
      <c r="B1217">
        <v>1</v>
      </c>
      <c r="C1217" t="s">
        <v>77</v>
      </c>
      <c r="E1217">
        <v>2000</v>
      </c>
      <c r="G1217" t="s">
        <v>9</v>
      </c>
      <c r="H1217" t="s">
        <v>67</v>
      </c>
    </row>
    <row r="1218" spans="1:8" x14ac:dyDescent="0.3">
      <c r="A1218" t="s">
        <v>87</v>
      </c>
      <c r="B1218">
        <v>1</v>
      </c>
      <c r="C1218" t="s">
        <v>77</v>
      </c>
      <c r="E1218">
        <v>2001</v>
      </c>
      <c r="G1218" t="s">
        <v>9</v>
      </c>
      <c r="H1218" t="s">
        <v>67</v>
      </c>
    </row>
    <row r="1219" spans="1:8" x14ac:dyDescent="0.3">
      <c r="A1219" t="s">
        <v>87</v>
      </c>
      <c r="B1219">
        <v>1</v>
      </c>
      <c r="C1219" t="s">
        <v>77</v>
      </c>
      <c r="D1219">
        <v>4.8</v>
      </c>
      <c r="E1219">
        <v>2002</v>
      </c>
      <c r="G1219" t="s">
        <v>9</v>
      </c>
      <c r="H1219" t="s">
        <v>67</v>
      </c>
    </row>
    <row r="1220" spans="1:8" x14ac:dyDescent="0.3">
      <c r="A1220" t="s">
        <v>87</v>
      </c>
      <c r="B1220">
        <v>1</v>
      </c>
      <c r="C1220" t="s">
        <v>77</v>
      </c>
      <c r="D1220">
        <v>10.3</v>
      </c>
      <c r="E1220">
        <v>2003</v>
      </c>
      <c r="G1220" t="s">
        <v>9</v>
      </c>
      <c r="H1220" t="s">
        <v>67</v>
      </c>
    </row>
    <row r="1221" spans="1:8" x14ac:dyDescent="0.3">
      <c r="A1221" t="s">
        <v>87</v>
      </c>
      <c r="B1221">
        <v>1</v>
      </c>
      <c r="C1221" t="s">
        <v>77</v>
      </c>
      <c r="D1221">
        <v>10.1</v>
      </c>
      <c r="E1221">
        <v>2004</v>
      </c>
      <c r="G1221" t="s">
        <v>9</v>
      </c>
      <c r="H1221" t="s">
        <v>67</v>
      </c>
    </row>
    <row r="1222" spans="1:8" x14ac:dyDescent="0.3">
      <c r="A1222" t="s">
        <v>87</v>
      </c>
      <c r="B1222">
        <v>1</v>
      </c>
      <c r="C1222" t="s">
        <v>77</v>
      </c>
      <c r="D1222">
        <v>7.2</v>
      </c>
      <c r="E1222">
        <v>2005</v>
      </c>
      <c r="G1222" t="s">
        <v>9</v>
      </c>
      <c r="H1222" t="s">
        <v>67</v>
      </c>
    </row>
    <row r="1223" spans="1:8" x14ac:dyDescent="0.3">
      <c r="A1223" t="s">
        <v>87</v>
      </c>
      <c r="B1223">
        <v>1</v>
      </c>
      <c r="C1223" t="s">
        <v>77</v>
      </c>
      <c r="D1223">
        <v>4.5999999999999996</v>
      </c>
      <c r="E1223">
        <v>2006</v>
      </c>
      <c r="G1223" t="s">
        <v>9</v>
      </c>
      <c r="H1223" t="s">
        <v>67</v>
      </c>
    </row>
    <row r="1224" spans="1:8" x14ac:dyDescent="0.3">
      <c r="A1224" t="s">
        <v>87</v>
      </c>
      <c r="B1224">
        <v>1</v>
      </c>
      <c r="C1224" t="s">
        <v>77</v>
      </c>
      <c r="D1224">
        <v>4.0999999999999996</v>
      </c>
      <c r="E1224">
        <v>2007</v>
      </c>
      <c r="G1224" t="s">
        <v>9</v>
      </c>
      <c r="H1224" t="s">
        <v>67</v>
      </c>
    </row>
    <row r="1225" spans="1:8" x14ac:dyDescent="0.3">
      <c r="A1225" t="s">
        <v>87</v>
      </c>
      <c r="B1225">
        <v>1</v>
      </c>
      <c r="C1225" t="s">
        <v>77</v>
      </c>
      <c r="D1225">
        <v>10.5</v>
      </c>
      <c r="E1225">
        <v>2008</v>
      </c>
      <c r="G1225" t="s">
        <v>9</v>
      </c>
      <c r="H1225" t="s">
        <v>67</v>
      </c>
    </row>
    <row r="1226" spans="1:8" x14ac:dyDescent="0.3">
      <c r="A1226" t="s">
        <v>87</v>
      </c>
      <c r="B1226">
        <v>1</v>
      </c>
      <c r="C1226" t="s">
        <v>77</v>
      </c>
      <c r="E1226">
        <v>2009</v>
      </c>
      <c r="G1226" t="s">
        <v>9</v>
      </c>
      <c r="H1226" t="s">
        <v>67</v>
      </c>
    </row>
    <row r="1227" spans="1:8" x14ac:dyDescent="0.3">
      <c r="A1227" t="s">
        <v>87</v>
      </c>
      <c r="B1227">
        <v>1</v>
      </c>
      <c r="C1227" t="s">
        <v>77</v>
      </c>
      <c r="D1227">
        <v>8.4</v>
      </c>
      <c r="E1227">
        <v>2010</v>
      </c>
      <c r="G1227" t="s">
        <v>9</v>
      </c>
      <c r="H1227" t="s">
        <v>67</v>
      </c>
    </row>
    <row r="1228" spans="1:8" x14ac:dyDescent="0.3">
      <c r="A1228" t="s">
        <v>87</v>
      </c>
      <c r="B1228">
        <v>1</v>
      </c>
      <c r="C1228" t="s">
        <v>77</v>
      </c>
      <c r="D1228">
        <v>9.5</v>
      </c>
      <c r="E1228">
        <v>2011</v>
      </c>
      <c r="G1228" t="s">
        <v>9</v>
      </c>
      <c r="H1228" t="s">
        <v>67</v>
      </c>
    </row>
    <row r="1229" spans="1:8" x14ac:dyDescent="0.3">
      <c r="A1229" t="s">
        <v>87</v>
      </c>
      <c r="B1229">
        <v>1</v>
      </c>
      <c r="C1229" t="s">
        <v>77</v>
      </c>
      <c r="E1229">
        <v>2012</v>
      </c>
      <c r="G1229" t="s">
        <v>9</v>
      </c>
      <c r="H1229" t="s">
        <v>67</v>
      </c>
    </row>
    <row r="1230" spans="1:8" x14ac:dyDescent="0.3">
      <c r="A1230" t="s">
        <v>87</v>
      </c>
      <c r="B1230">
        <v>1</v>
      </c>
      <c r="C1230" t="s">
        <v>77</v>
      </c>
      <c r="E1230">
        <v>2013</v>
      </c>
      <c r="G1230" t="s">
        <v>9</v>
      </c>
      <c r="H1230" t="s">
        <v>67</v>
      </c>
    </row>
    <row r="1231" spans="1:8" x14ac:dyDescent="0.3">
      <c r="A1231" t="s">
        <v>87</v>
      </c>
      <c r="B1231">
        <v>1</v>
      </c>
      <c r="C1231" t="s">
        <v>77</v>
      </c>
      <c r="D1231">
        <v>1.7</v>
      </c>
      <c r="E1231">
        <v>2014</v>
      </c>
      <c r="G1231" t="s">
        <v>9</v>
      </c>
      <c r="H1231" t="s">
        <v>67</v>
      </c>
    </row>
    <row r="1232" spans="1:8" x14ac:dyDescent="0.3">
      <c r="A1232" t="s">
        <v>87</v>
      </c>
      <c r="B1232">
        <v>1</v>
      </c>
      <c r="C1232" t="s">
        <v>77</v>
      </c>
      <c r="E1232">
        <v>2015</v>
      </c>
      <c r="G1232" t="s">
        <v>9</v>
      </c>
      <c r="H1232" t="s">
        <v>67</v>
      </c>
    </row>
    <row r="1233" spans="1:8" x14ac:dyDescent="0.3">
      <c r="A1233" t="s">
        <v>87</v>
      </c>
      <c r="B1233">
        <v>1</v>
      </c>
      <c r="C1233" t="s">
        <v>77</v>
      </c>
      <c r="E1233">
        <v>2016</v>
      </c>
      <c r="G1233" t="s">
        <v>9</v>
      </c>
      <c r="H1233" t="s">
        <v>67</v>
      </c>
    </row>
    <row r="1234" spans="1:8" x14ac:dyDescent="0.3">
      <c r="A1234" t="s">
        <v>87</v>
      </c>
      <c r="B1234">
        <v>1</v>
      </c>
      <c r="C1234" t="s">
        <v>77</v>
      </c>
      <c r="E1234">
        <v>2017</v>
      </c>
      <c r="G1234" t="s">
        <v>9</v>
      </c>
      <c r="H1234" t="s">
        <v>67</v>
      </c>
    </row>
    <row r="1235" spans="1:8" x14ac:dyDescent="0.3">
      <c r="A1235" t="s">
        <v>87</v>
      </c>
      <c r="B1235">
        <v>1</v>
      </c>
      <c r="C1235" t="s">
        <v>77</v>
      </c>
      <c r="E1235">
        <v>2018</v>
      </c>
      <c r="G1235" t="s">
        <v>9</v>
      </c>
      <c r="H1235" t="s">
        <v>67</v>
      </c>
    </row>
    <row r="1236" spans="1:8" x14ac:dyDescent="0.3">
      <c r="A1236" t="s">
        <v>87</v>
      </c>
      <c r="B1236">
        <v>1</v>
      </c>
      <c r="C1236" t="s">
        <v>77</v>
      </c>
      <c r="D1236">
        <v>0.4</v>
      </c>
      <c r="E1236">
        <v>2019</v>
      </c>
      <c r="G1236" t="s">
        <v>9</v>
      </c>
      <c r="H1236" t="s">
        <v>67</v>
      </c>
    </row>
    <row r="1237" spans="1:8" x14ac:dyDescent="0.3">
      <c r="A1237" t="s">
        <v>87</v>
      </c>
      <c r="B1237">
        <v>1</v>
      </c>
      <c r="C1237" t="s">
        <v>77</v>
      </c>
      <c r="D1237">
        <v>0.05</v>
      </c>
      <c r="E1237">
        <v>2020</v>
      </c>
      <c r="G1237" t="s">
        <v>9</v>
      </c>
      <c r="H1237" t="s">
        <v>67</v>
      </c>
    </row>
    <row r="1238" spans="1:8" x14ac:dyDescent="0.3">
      <c r="A1238" t="s">
        <v>88</v>
      </c>
      <c r="B1238">
        <v>1</v>
      </c>
      <c r="C1238" t="s">
        <v>78</v>
      </c>
      <c r="D1238">
        <v>4.8</v>
      </c>
      <c r="E1238">
        <v>1975</v>
      </c>
      <c r="G1238" t="s">
        <v>9</v>
      </c>
      <c r="H1238" t="s">
        <v>67</v>
      </c>
    </row>
    <row r="1239" spans="1:8" x14ac:dyDescent="0.3">
      <c r="A1239" t="s">
        <v>88</v>
      </c>
      <c r="B1239">
        <v>1</v>
      </c>
      <c r="C1239" t="s">
        <v>78</v>
      </c>
      <c r="E1239">
        <v>1976</v>
      </c>
      <c r="G1239" t="s">
        <v>9</v>
      </c>
      <c r="H1239" t="s">
        <v>67</v>
      </c>
    </row>
    <row r="1240" spans="1:8" x14ac:dyDescent="0.3">
      <c r="A1240" t="s">
        <v>88</v>
      </c>
      <c r="B1240">
        <v>1</v>
      </c>
      <c r="C1240" t="s">
        <v>78</v>
      </c>
      <c r="E1240">
        <v>1977</v>
      </c>
      <c r="G1240" t="s">
        <v>9</v>
      </c>
      <c r="H1240" t="s">
        <v>67</v>
      </c>
    </row>
    <row r="1241" spans="1:8" x14ac:dyDescent="0.3">
      <c r="A1241" t="s">
        <v>88</v>
      </c>
      <c r="B1241">
        <v>1</v>
      </c>
      <c r="C1241" t="s">
        <v>78</v>
      </c>
      <c r="E1241">
        <v>1978</v>
      </c>
      <c r="G1241" t="s">
        <v>9</v>
      </c>
      <c r="H1241" t="s">
        <v>67</v>
      </c>
    </row>
    <row r="1242" spans="1:8" x14ac:dyDescent="0.3">
      <c r="A1242" t="s">
        <v>88</v>
      </c>
      <c r="B1242">
        <v>1</v>
      </c>
      <c r="C1242" t="s">
        <v>78</v>
      </c>
      <c r="E1242">
        <v>1979</v>
      </c>
      <c r="G1242" t="s">
        <v>9</v>
      </c>
      <c r="H1242" t="s">
        <v>67</v>
      </c>
    </row>
    <row r="1243" spans="1:8" x14ac:dyDescent="0.3">
      <c r="A1243" t="s">
        <v>88</v>
      </c>
      <c r="B1243">
        <v>1</v>
      </c>
      <c r="C1243" t="s">
        <v>78</v>
      </c>
      <c r="D1243">
        <v>9</v>
      </c>
      <c r="E1243">
        <v>1980</v>
      </c>
      <c r="G1243" t="s">
        <v>9</v>
      </c>
      <c r="H1243" t="s">
        <v>67</v>
      </c>
    </row>
    <row r="1244" spans="1:8" x14ac:dyDescent="0.3">
      <c r="A1244" t="s">
        <v>88</v>
      </c>
      <c r="B1244">
        <v>1</v>
      </c>
      <c r="C1244" t="s">
        <v>78</v>
      </c>
      <c r="E1244">
        <v>1981</v>
      </c>
      <c r="G1244" t="s">
        <v>9</v>
      </c>
      <c r="H1244" t="s">
        <v>67</v>
      </c>
    </row>
    <row r="1245" spans="1:8" x14ac:dyDescent="0.3">
      <c r="A1245" t="s">
        <v>88</v>
      </c>
      <c r="B1245">
        <v>1</v>
      </c>
      <c r="C1245" t="s">
        <v>78</v>
      </c>
      <c r="E1245">
        <v>1982</v>
      </c>
      <c r="G1245" t="s">
        <v>9</v>
      </c>
      <c r="H1245" t="s">
        <v>67</v>
      </c>
    </row>
    <row r="1246" spans="1:8" x14ac:dyDescent="0.3">
      <c r="A1246" t="s">
        <v>88</v>
      </c>
      <c r="B1246">
        <v>1</v>
      </c>
      <c r="C1246" t="s">
        <v>78</v>
      </c>
      <c r="E1246">
        <v>1983</v>
      </c>
      <c r="G1246" t="s">
        <v>9</v>
      </c>
      <c r="H1246" t="s">
        <v>67</v>
      </c>
    </row>
    <row r="1247" spans="1:8" x14ac:dyDescent="0.3">
      <c r="A1247" t="s">
        <v>88</v>
      </c>
      <c r="B1247">
        <v>1</v>
      </c>
      <c r="C1247" t="s">
        <v>78</v>
      </c>
      <c r="E1247">
        <v>1984</v>
      </c>
      <c r="G1247" t="s">
        <v>9</v>
      </c>
      <c r="H1247" t="s">
        <v>67</v>
      </c>
    </row>
    <row r="1248" spans="1:8" x14ac:dyDescent="0.3">
      <c r="A1248" t="s">
        <v>88</v>
      </c>
      <c r="B1248">
        <v>1</v>
      </c>
      <c r="C1248" t="s">
        <v>78</v>
      </c>
      <c r="E1248">
        <v>1985</v>
      </c>
      <c r="G1248" t="s">
        <v>9</v>
      </c>
      <c r="H1248" t="s">
        <v>67</v>
      </c>
    </row>
    <row r="1249" spans="1:8" x14ac:dyDescent="0.3">
      <c r="A1249" t="s">
        <v>88</v>
      </c>
      <c r="B1249">
        <v>1</v>
      </c>
      <c r="C1249" t="s">
        <v>78</v>
      </c>
      <c r="E1249">
        <v>1986</v>
      </c>
      <c r="G1249" t="s">
        <v>9</v>
      </c>
      <c r="H1249" t="s">
        <v>67</v>
      </c>
    </row>
    <row r="1250" spans="1:8" x14ac:dyDescent="0.3">
      <c r="A1250" t="s">
        <v>88</v>
      </c>
      <c r="B1250">
        <v>1</v>
      </c>
      <c r="C1250" t="s">
        <v>78</v>
      </c>
      <c r="D1250">
        <v>32.799999999999997</v>
      </c>
      <c r="E1250">
        <v>1987</v>
      </c>
      <c r="G1250" t="s">
        <v>9</v>
      </c>
      <c r="H1250" t="s">
        <v>67</v>
      </c>
    </row>
    <row r="1251" spans="1:8" x14ac:dyDescent="0.3">
      <c r="A1251" t="s">
        <v>88</v>
      </c>
      <c r="B1251">
        <v>1</v>
      </c>
      <c r="C1251" t="s">
        <v>78</v>
      </c>
      <c r="D1251">
        <v>45.8</v>
      </c>
      <c r="E1251">
        <v>1988</v>
      </c>
      <c r="G1251" t="s">
        <v>9</v>
      </c>
      <c r="H1251" t="s">
        <v>67</v>
      </c>
    </row>
    <row r="1252" spans="1:8" x14ac:dyDescent="0.3">
      <c r="A1252" t="s">
        <v>88</v>
      </c>
      <c r="B1252">
        <v>1</v>
      </c>
      <c r="C1252" t="s">
        <v>78</v>
      </c>
      <c r="E1252">
        <v>1989</v>
      </c>
      <c r="G1252" t="s">
        <v>9</v>
      </c>
      <c r="H1252" t="s">
        <v>67</v>
      </c>
    </row>
    <row r="1253" spans="1:8" x14ac:dyDescent="0.3">
      <c r="A1253" t="s">
        <v>88</v>
      </c>
      <c r="B1253">
        <v>1</v>
      </c>
      <c r="C1253" t="s">
        <v>78</v>
      </c>
      <c r="E1253">
        <v>1990</v>
      </c>
      <c r="G1253" t="s">
        <v>9</v>
      </c>
      <c r="H1253" t="s">
        <v>67</v>
      </c>
    </row>
    <row r="1254" spans="1:8" x14ac:dyDescent="0.3">
      <c r="A1254" t="s">
        <v>88</v>
      </c>
      <c r="B1254">
        <v>1</v>
      </c>
      <c r="C1254" t="s">
        <v>78</v>
      </c>
      <c r="E1254">
        <v>1991</v>
      </c>
      <c r="G1254" t="s">
        <v>9</v>
      </c>
      <c r="H1254" t="s">
        <v>67</v>
      </c>
    </row>
    <row r="1255" spans="1:8" x14ac:dyDescent="0.3">
      <c r="A1255" t="s">
        <v>88</v>
      </c>
      <c r="B1255">
        <v>1</v>
      </c>
      <c r="C1255" t="s">
        <v>78</v>
      </c>
      <c r="E1255">
        <v>1992</v>
      </c>
      <c r="G1255" t="s">
        <v>9</v>
      </c>
      <c r="H1255" t="s">
        <v>67</v>
      </c>
    </row>
    <row r="1256" spans="1:8" x14ac:dyDescent="0.3">
      <c r="A1256" t="s">
        <v>88</v>
      </c>
      <c r="B1256">
        <v>1</v>
      </c>
      <c r="C1256" t="s">
        <v>78</v>
      </c>
      <c r="E1256">
        <v>1993</v>
      </c>
      <c r="G1256" t="s">
        <v>9</v>
      </c>
      <c r="H1256" t="s">
        <v>67</v>
      </c>
    </row>
    <row r="1257" spans="1:8" x14ac:dyDescent="0.3">
      <c r="A1257" t="s">
        <v>88</v>
      </c>
      <c r="B1257">
        <v>1</v>
      </c>
      <c r="C1257" t="s">
        <v>78</v>
      </c>
      <c r="D1257">
        <v>33.6</v>
      </c>
      <c r="E1257">
        <v>1994</v>
      </c>
      <c r="G1257" t="s">
        <v>9</v>
      </c>
      <c r="H1257" t="s">
        <v>67</v>
      </c>
    </row>
    <row r="1258" spans="1:8" x14ac:dyDescent="0.3">
      <c r="A1258" t="s">
        <v>88</v>
      </c>
      <c r="B1258">
        <v>1</v>
      </c>
      <c r="C1258" t="s">
        <v>78</v>
      </c>
      <c r="E1258">
        <v>1995</v>
      </c>
      <c r="G1258" t="s">
        <v>9</v>
      </c>
      <c r="H1258" t="s">
        <v>67</v>
      </c>
    </row>
    <row r="1259" spans="1:8" x14ac:dyDescent="0.3">
      <c r="A1259" t="s">
        <v>88</v>
      </c>
      <c r="B1259">
        <v>1</v>
      </c>
      <c r="C1259" t="s">
        <v>78</v>
      </c>
      <c r="E1259">
        <v>1996</v>
      </c>
      <c r="G1259" t="s">
        <v>9</v>
      </c>
      <c r="H1259" t="s">
        <v>67</v>
      </c>
    </row>
    <row r="1260" spans="1:8" x14ac:dyDescent="0.3">
      <c r="A1260" t="s">
        <v>88</v>
      </c>
      <c r="B1260">
        <v>1</v>
      </c>
      <c r="C1260" t="s">
        <v>78</v>
      </c>
      <c r="E1260">
        <v>1997</v>
      </c>
      <c r="G1260" t="s">
        <v>9</v>
      </c>
      <c r="H1260" t="s">
        <v>67</v>
      </c>
    </row>
    <row r="1261" spans="1:8" x14ac:dyDescent="0.3">
      <c r="A1261" t="s">
        <v>88</v>
      </c>
      <c r="B1261">
        <v>1</v>
      </c>
      <c r="C1261" t="s">
        <v>78</v>
      </c>
      <c r="E1261">
        <v>1998</v>
      </c>
      <c r="G1261" t="s">
        <v>9</v>
      </c>
      <c r="H1261" t="s">
        <v>67</v>
      </c>
    </row>
    <row r="1262" spans="1:8" x14ac:dyDescent="0.3">
      <c r="A1262" t="s">
        <v>88</v>
      </c>
      <c r="B1262">
        <v>1</v>
      </c>
      <c r="C1262" t="s">
        <v>78</v>
      </c>
      <c r="E1262">
        <v>1999</v>
      </c>
      <c r="G1262" t="s">
        <v>9</v>
      </c>
      <c r="H1262" t="s">
        <v>67</v>
      </c>
    </row>
    <row r="1263" spans="1:8" x14ac:dyDescent="0.3">
      <c r="A1263" t="s">
        <v>88</v>
      </c>
      <c r="B1263">
        <v>1</v>
      </c>
      <c r="C1263" t="s">
        <v>78</v>
      </c>
      <c r="E1263">
        <v>2000</v>
      </c>
      <c r="G1263" t="s">
        <v>9</v>
      </c>
      <c r="H1263" t="s">
        <v>67</v>
      </c>
    </row>
    <row r="1264" spans="1:8" x14ac:dyDescent="0.3">
      <c r="A1264" t="s">
        <v>88</v>
      </c>
      <c r="B1264">
        <v>1</v>
      </c>
      <c r="C1264" t="s">
        <v>78</v>
      </c>
      <c r="D1264">
        <v>13.5</v>
      </c>
      <c r="E1264">
        <v>2001</v>
      </c>
      <c r="G1264" t="s">
        <v>9</v>
      </c>
      <c r="H1264" t="s">
        <v>67</v>
      </c>
    </row>
    <row r="1265" spans="1:8" x14ac:dyDescent="0.3">
      <c r="A1265" t="s">
        <v>88</v>
      </c>
      <c r="B1265">
        <v>1</v>
      </c>
      <c r="C1265" t="s">
        <v>78</v>
      </c>
      <c r="D1265">
        <v>20.2</v>
      </c>
      <c r="E1265">
        <v>2002</v>
      </c>
      <c r="G1265" t="s">
        <v>9</v>
      </c>
      <c r="H1265" t="s">
        <v>67</v>
      </c>
    </row>
    <row r="1266" spans="1:8" x14ac:dyDescent="0.3">
      <c r="A1266" t="s">
        <v>88</v>
      </c>
      <c r="B1266">
        <v>1</v>
      </c>
      <c r="C1266" t="s">
        <v>78</v>
      </c>
      <c r="D1266">
        <v>28.4</v>
      </c>
      <c r="E1266">
        <v>2003</v>
      </c>
      <c r="G1266" t="s">
        <v>9</v>
      </c>
      <c r="H1266" t="s">
        <v>67</v>
      </c>
    </row>
    <row r="1267" spans="1:8" x14ac:dyDescent="0.3">
      <c r="A1267" t="s">
        <v>88</v>
      </c>
      <c r="B1267">
        <v>1</v>
      </c>
      <c r="C1267" t="s">
        <v>78</v>
      </c>
      <c r="E1267">
        <v>2004</v>
      </c>
      <c r="G1267" t="s">
        <v>9</v>
      </c>
      <c r="H1267" t="s">
        <v>67</v>
      </c>
    </row>
    <row r="1268" spans="1:8" x14ac:dyDescent="0.3">
      <c r="A1268" t="s">
        <v>88</v>
      </c>
      <c r="B1268">
        <v>1</v>
      </c>
      <c r="C1268" t="s">
        <v>78</v>
      </c>
      <c r="D1268">
        <v>26.2</v>
      </c>
      <c r="E1268">
        <v>2005</v>
      </c>
      <c r="G1268" t="s">
        <v>9</v>
      </c>
      <c r="H1268" t="s">
        <v>67</v>
      </c>
    </row>
    <row r="1269" spans="1:8" x14ac:dyDescent="0.3">
      <c r="A1269" t="s">
        <v>88</v>
      </c>
      <c r="B1269">
        <v>1</v>
      </c>
      <c r="C1269" t="s">
        <v>78</v>
      </c>
      <c r="D1269">
        <v>33.799999999999997</v>
      </c>
      <c r="E1269">
        <v>2006</v>
      </c>
      <c r="G1269" t="s">
        <v>9</v>
      </c>
      <c r="H1269" t="s">
        <v>67</v>
      </c>
    </row>
    <row r="1270" spans="1:8" x14ac:dyDescent="0.3">
      <c r="A1270" t="s">
        <v>88</v>
      </c>
      <c r="B1270">
        <v>1</v>
      </c>
      <c r="C1270" t="s">
        <v>78</v>
      </c>
      <c r="D1270">
        <v>24.3</v>
      </c>
      <c r="E1270">
        <v>2007</v>
      </c>
      <c r="G1270" t="s">
        <v>9</v>
      </c>
      <c r="H1270" t="s">
        <v>67</v>
      </c>
    </row>
    <row r="1271" spans="1:8" x14ac:dyDescent="0.3">
      <c r="A1271" t="s">
        <v>88</v>
      </c>
      <c r="B1271">
        <v>1</v>
      </c>
      <c r="C1271" t="s">
        <v>78</v>
      </c>
      <c r="D1271">
        <v>26.8</v>
      </c>
      <c r="E1271">
        <v>2008</v>
      </c>
      <c r="G1271" t="s">
        <v>9</v>
      </c>
      <c r="H1271" t="s">
        <v>67</v>
      </c>
    </row>
    <row r="1272" spans="1:8" x14ac:dyDescent="0.3">
      <c r="A1272" t="s">
        <v>88</v>
      </c>
      <c r="B1272">
        <v>1</v>
      </c>
      <c r="C1272" t="s">
        <v>78</v>
      </c>
      <c r="D1272">
        <v>22.7</v>
      </c>
      <c r="E1272">
        <v>2009</v>
      </c>
      <c r="G1272" t="s">
        <v>9</v>
      </c>
      <c r="H1272" t="s">
        <v>67</v>
      </c>
    </row>
    <row r="1273" spans="1:8" x14ac:dyDescent="0.3">
      <c r="A1273" t="s">
        <v>88</v>
      </c>
      <c r="B1273">
        <v>1</v>
      </c>
      <c r="C1273" t="s">
        <v>78</v>
      </c>
      <c r="D1273">
        <v>18.600000000000001</v>
      </c>
      <c r="E1273">
        <v>2010</v>
      </c>
      <c r="G1273" t="s">
        <v>9</v>
      </c>
      <c r="H1273" t="s">
        <v>67</v>
      </c>
    </row>
    <row r="1274" spans="1:8" x14ac:dyDescent="0.3">
      <c r="A1274" t="s">
        <v>88</v>
      </c>
      <c r="B1274">
        <v>1</v>
      </c>
      <c r="C1274" t="s">
        <v>78</v>
      </c>
      <c r="D1274">
        <v>36.299999999999997</v>
      </c>
      <c r="E1274">
        <v>2011</v>
      </c>
      <c r="G1274" t="s">
        <v>9</v>
      </c>
      <c r="H1274" t="s">
        <v>67</v>
      </c>
    </row>
    <row r="1275" spans="1:8" x14ac:dyDescent="0.3">
      <c r="A1275" t="s">
        <v>88</v>
      </c>
      <c r="B1275">
        <v>1</v>
      </c>
      <c r="C1275" t="s">
        <v>78</v>
      </c>
      <c r="E1275">
        <v>2012</v>
      </c>
      <c r="G1275" t="s">
        <v>9</v>
      </c>
      <c r="H1275" t="s">
        <v>67</v>
      </c>
    </row>
    <row r="1276" spans="1:8" x14ac:dyDescent="0.3">
      <c r="A1276" t="s">
        <v>88</v>
      </c>
      <c r="B1276">
        <v>1</v>
      </c>
      <c r="C1276" t="s">
        <v>78</v>
      </c>
      <c r="E1276">
        <v>2013</v>
      </c>
      <c r="G1276" t="s">
        <v>9</v>
      </c>
      <c r="H1276" t="s">
        <v>67</v>
      </c>
    </row>
    <row r="1277" spans="1:8" x14ac:dyDescent="0.3">
      <c r="A1277" t="s">
        <v>88</v>
      </c>
      <c r="B1277">
        <v>1</v>
      </c>
      <c r="C1277" t="s">
        <v>78</v>
      </c>
      <c r="D1277">
        <v>10.4</v>
      </c>
      <c r="E1277">
        <v>2014</v>
      </c>
      <c r="G1277" t="s">
        <v>9</v>
      </c>
      <c r="H1277" t="s">
        <v>67</v>
      </c>
    </row>
    <row r="1278" spans="1:8" x14ac:dyDescent="0.3">
      <c r="A1278" t="s">
        <v>88</v>
      </c>
      <c r="B1278">
        <v>1</v>
      </c>
      <c r="C1278" t="s">
        <v>78</v>
      </c>
      <c r="E1278">
        <v>2015</v>
      </c>
      <c r="G1278" t="s">
        <v>9</v>
      </c>
      <c r="H1278" t="s">
        <v>67</v>
      </c>
    </row>
    <row r="1279" spans="1:8" x14ac:dyDescent="0.3">
      <c r="A1279" t="s">
        <v>88</v>
      </c>
      <c r="B1279">
        <v>1</v>
      </c>
      <c r="C1279" t="s">
        <v>78</v>
      </c>
      <c r="E1279">
        <v>2016</v>
      </c>
      <c r="G1279" t="s">
        <v>9</v>
      </c>
      <c r="H1279" t="s">
        <v>67</v>
      </c>
    </row>
    <row r="1280" spans="1:8" x14ac:dyDescent="0.3">
      <c r="A1280" t="s">
        <v>88</v>
      </c>
      <c r="B1280">
        <v>1</v>
      </c>
      <c r="C1280" t="s">
        <v>78</v>
      </c>
      <c r="E1280">
        <v>2017</v>
      </c>
      <c r="G1280" t="s">
        <v>9</v>
      </c>
      <c r="H1280" t="s">
        <v>67</v>
      </c>
    </row>
    <row r="1281" spans="1:8" x14ac:dyDescent="0.3">
      <c r="A1281" t="s">
        <v>88</v>
      </c>
      <c r="B1281">
        <v>1</v>
      </c>
      <c r="C1281" t="s">
        <v>78</v>
      </c>
      <c r="D1281">
        <v>27.9</v>
      </c>
      <c r="E1281">
        <v>2018</v>
      </c>
      <c r="G1281" t="s">
        <v>9</v>
      </c>
      <c r="H1281" t="s">
        <v>67</v>
      </c>
    </row>
    <row r="1282" spans="1:8" x14ac:dyDescent="0.3">
      <c r="A1282" t="s">
        <v>88</v>
      </c>
      <c r="B1282">
        <v>1</v>
      </c>
      <c r="C1282" t="s">
        <v>78</v>
      </c>
      <c r="E1282">
        <v>2019</v>
      </c>
      <c r="G1282" t="s">
        <v>9</v>
      </c>
      <c r="H1282" t="s">
        <v>67</v>
      </c>
    </row>
    <row r="1283" spans="1:8" x14ac:dyDescent="0.3">
      <c r="A1283" t="s">
        <v>88</v>
      </c>
      <c r="B1283">
        <v>1</v>
      </c>
      <c r="C1283" t="s">
        <v>78</v>
      </c>
      <c r="D1283">
        <v>2.83</v>
      </c>
      <c r="E1283">
        <v>2020</v>
      </c>
      <c r="G1283" t="s">
        <v>9</v>
      </c>
      <c r="H1283" t="s">
        <v>67</v>
      </c>
    </row>
    <row r="1284" spans="1:8" x14ac:dyDescent="0.3">
      <c r="A1284" t="s">
        <v>89</v>
      </c>
      <c r="B1284">
        <v>1</v>
      </c>
      <c r="C1284" t="s">
        <v>79</v>
      </c>
      <c r="D1284">
        <v>0</v>
      </c>
      <c r="E1284">
        <v>1975</v>
      </c>
      <c r="G1284" t="s">
        <v>9</v>
      </c>
      <c r="H1284" t="s">
        <v>67</v>
      </c>
    </row>
    <row r="1285" spans="1:8" x14ac:dyDescent="0.3">
      <c r="A1285" t="s">
        <v>89</v>
      </c>
      <c r="B1285">
        <v>1</v>
      </c>
      <c r="C1285" t="s">
        <v>79</v>
      </c>
      <c r="E1285">
        <v>1976</v>
      </c>
      <c r="G1285" t="s">
        <v>9</v>
      </c>
      <c r="H1285" t="s">
        <v>67</v>
      </c>
    </row>
    <row r="1286" spans="1:8" x14ac:dyDescent="0.3">
      <c r="A1286" t="s">
        <v>89</v>
      </c>
      <c r="B1286">
        <v>1</v>
      </c>
      <c r="C1286" t="s">
        <v>79</v>
      </c>
      <c r="E1286">
        <v>1977</v>
      </c>
      <c r="G1286" t="s">
        <v>9</v>
      </c>
      <c r="H1286" t="s">
        <v>67</v>
      </c>
    </row>
    <row r="1287" spans="1:8" x14ac:dyDescent="0.3">
      <c r="A1287" t="s">
        <v>89</v>
      </c>
      <c r="B1287">
        <v>1</v>
      </c>
      <c r="C1287" t="s">
        <v>79</v>
      </c>
      <c r="E1287">
        <v>1978</v>
      </c>
      <c r="G1287" t="s">
        <v>9</v>
      </c>
      <c r="H1287" t="s">
        <v>67</v>
      </c>
    </row>
    <row r="1288" spans="1:8" x14ac:dyDescent="0.3">
      <c r="A1288" t="s">
        <v>89</v>
      </c>
      <c r="B1288">
        <v>1</v>
      </c>
      <c r="C1288" t="s">
        <v>79</v>
      </c>
      <c r="E1288">
        <v>1979</v>
      </c>
      <c r="G1288" t="s">
        <v>9</v>
      </c>
      <c r="H1288" t="s">
        <v>67</v>
      </c>
    </row>
    <row r="1289" spans="1:8" x14ac:dyDescent="0.3">
      <c r="A1289" t="s">
        <v>89</v>
      </c>
      <c r="B1289">
        <v>1</v>
      </c>
      <c r="C1289" t="s">
        <v>79</v>
      </c>
      <c r="E1289">
        <v>1980</v>
      </c>
      <c r="G1289" t="s">
        <v>9</v>
      </c>
      <c r="H1289" t="s">
        <v>67</v>
      </c>
    </row>
    <row r="1290" spans="1:8" x14ac:dyDescent="0.3">
      <c r="A1290" t="s">
        <v>89</v>
      </c>
      <c r="B1290">
        <v>1</v>
      </c>
      <c r="C1290" t="s">
        <v>79</v>
      </c>
      <c r="E1290">
        <v>1981</v>
      </c>
      <c r="G1290" t="s">
        <v>9</v>
      </c>
      <c r="H1290" t="s">
        <v>67</v>
      </c>
    </row>
    <row r="1291" spans="1:8" x14ac:dyDescent="0.3">
      <c r="A1291" t="s">
        <v>89</v>
      </c>
      <c r="B1291">
        <v>1</v>
      </c>
      <c r="C1291" t="s">
        <v>79</v>
      </c>
      <c r="E1291">
        <v>1982</v>
      </c>
      <c r="G1291" t="s">
        <v>9</v>
      </c>
      <c r="H1291" t="s">
        <v>67</v>
      </c>
    </row>
    <row r="1292" spans="1:8" x14ac:dyDescent="0.3">
      <c r="A1292" t="s">
        <v>89</v>
      </c>
      <c r="B1292">
        <v>1</v>
      </c>
      <c r="C1292" t="s">
        <v>79</v>
      </c>
      <c r="E1292">
        <v>1983</v>
      </c>
      <c r="G1292" t="s">
        <v>9</v>
      </c>
      <c r="H1292" t="s">
        <v>67</v>
      </c>
    </row>
    <row r="1293" spans="1:8" x14ac:dyDescent="0.3">
      <c r="A1293" t="s">
        <v>89</v>
      </c>
      <c r="B1293">
        <v>1</v>
      </c>
      <c r="C1293" t="s">
        <v>79</v>
      </c>
      <c r="E1293">
        <v>1984</v>
      </c>
      <c r="G1293" t="s">
        <v>9</v>
      </c>
      <c r="H1293" t="s">
        <v>67</v>
      </c>
    </row>
    <row r="1294" spans="1:8" x14ac:dyDescent="0.3">
      <c r="A1294" t="s">
        <v>89</v>
      </c>
      <c r="B1294">
        <v>1</v>
      </c>
      <c r="C1294" t="s">
        <v>79</v>
      </c>
      <c r="E1294">
        <v>1985</v>
      </c>
      <c r="G1294" t="s">
        <v>9</v>
      </c>
      <c r="H1294" t="s">
        <v>67</v>
      </c>
    </row>
    <row r="1295" spans="1:8" x14ac:dyDescent="0.3">
      <c r="A1295" t="s">
        <v>89</v>
      </c>
      <c r="B1295">
        <v>1</v>
      </c>
      <c r="C1295" t="s">
        <v>79</v>
      </c>
      <c r="E1295">
        <v>1986</v>
      </c>
      <c r="G1295" t="s">
        <v>9</v>
      </c>
      <c r="H1295" t="s">
        <v>67</v>
      </c>
    </row>
    <row r="1296" spans="1:8" x14ac:dyDescent="0.3">
      <c r="A1296" t="s">
        <v>89</v>
      </c>
      <c r="B1296">
        <v>1</v>
      </c>
      <c r="C1296" t="s">
        <v>79</v>
      </c>
      <c r="D1296">
        <v>5.0999999999999996</v>
      </c>
      <c r="E1296">
        <v>1987</v>
      </c>
      <c r="G1296" t="s">
        <v>9</v>
      </c>
      <c r="H1296" t="s">
        <v>67</v>
      </c>
    </row>
    <row r="1297" spans="1:8" x14ac:dyDescent="0.3">
      <c r="A1297" t="s">
        <v>89</v>
      </c>
      <c r="B1297">
        <v>1</v>
      </c>
      <c r="C1297" t="s">
        <v>79</v>
      </c>
      <c r="E1297">
        <v>1988</v>
      </c>
      <c r="G1297" t="s">
        <v>9</v>
      </c>
      <c r="H1297" t="s">
        <v>67</v>
      </c>
    </row>
    <row r="1298" spans="1:8" x14ac:dyDescent="0.3">
      <c r="A1298" t="s">
        <v>89</v>
      </c>
      <c r="B1298">
        <v>1</v>
      </c>
      <c r="C1298" t="s">
        <v>79</v>
      </c>
      <c r="E1298">
        <v>1989</v>
      </c>
      <c r="G1298" t="s">
        <v>9</v>
      </c>
      <c r="H1298" t="s">
        <v>67</v>
      </c>
    </row>
    <row r="1299" spans="1:8" x14ac:dyDescent="0.3">
      <c r="A1299" t="s">
        <v>89</v>
      </c>
      <c r="B1299">
        <v>1</v>
      </c>
      <c r="C1299" t="s">
        <v>79</v>
      </c>
      <c r="E1299">
        <v>1990</v>
      </c>
      <c r="G1299" t="s">
        <v>9</v>
      </c>
      <c r="H1299" t="s">
        <v>67</v>
      </c>
    </row>
    <row r="1300" spans="1:8" x14ac:dyDescent="0.3">
      <c r="A1300" t="s">
        <v>89</v>
      </c>
      <c r="B1300">
        <v>1</v>
      </c>
      <c r="C1300" t="s">
        <v>79</v>
      </c>
      <c r="E1300">
        <v>1991</v>
      </c>
      <c r="G1300" t="s">
        <v>9</v>
      </c>
      <c r="H1300" t="s">
        <v>67</v>
      </c>
    </row>
    <row r="1301" spans="1:8" x14ac:dyDescent="0.3">
      <c r="A1301" t="s">
        <v>89</v>
      </c>
      <c r="B1301">
        <v>1</v>
      </c>
      <c r="C1301" t="s">
        <v>79</v>
      </c>
      <c r="E1301">
        <v>1992</v>
      </c>
      <c r="G1301" t="s">
        <v>9</v>
      </c>
      <c r="H1301" t="s">
        <v>67</v>
      </c>
    </row>
    <row r="1302" spans="1:8" x14ac:dyDescent="0.3">
      <c r="A1302" t="s">
        <v>89</v>
      </c>
      <c r="B1302">
        <v>1</v>
      </c>
      <c r="C1302" t="s">
        <v>79</v>
      </c>
      <c r="E1302">
        <v>1993</v>
      </c>
      <c r="G1302" t="s">
        <v>9</v>
      </c>
      <c r="H1302" t="s">
        <v>67</v>
      </c>
    </row>
    <row r="1303" spans="1:8" x14ac:dyDescent="0.3">
      <c r="A1303" t="s">
        <v>89</v>
      </c>
      <c r="B1303">
        <v>1</v>
      </c>
      <c r="C1303" t="s">
        <v>79</v>
      </c>
      <c r="D1303">
        <v>8.4</v>
      </c>
      <c r="E1303">
        <v>1994</v>
      </c>
      <c r="G1303" t="s">
        <v>9</v>
      </c>
      <c r="H1303" t="s">
        <v>67</v>
      </c>
    </row>
    <row r="1304" spans="1:8" x14ac:dyDescent="0.3">
      <c r="A1304" t="s">
        <v>89</v>
      </c>
      <c r="B1304">
        <v>1</v>
      </c>
      <c r="C1304" t="s">
        <v>79</v>
      </c>
      <c r="E1304">
        <v>1995</v>
      </c>
      <c r="G1304" t="s">
        <v>9</v>
      </c>
      <c r="H1304" t="s">
        <v>67</v>
      </c>
    </row>
    <row r="1305" spans="1:8" x14ac:dyDescent="0.3">
      <c r="A1305" t="s">
        <v>89</v>
      </c>
      <c r="B1305">
        <v>1</v>
      </c>
      <c r="C1305" t="s">
        <v>79</v>
      </c>
      <c r="E1305">
        <v>1996</v>
      </c>
      <c r="G1305" t="s">
        <v>9</v>
      </c>
      <c r="H1305" t="s">
        <v>67</v>
      </c>
    </row>
    <row r="1306" spans="1:8" x14ac:dyDescent="0.3">
      <c r="A1306" t="s">
        <v>89</v>
      </c>
      <c r="B1306">
        <v>1</v>
      </c>
      <c r="C1306" t="s">
        <v>79</v>
      </c>
      <c r="E1306">
        <v>1997</v>
      </c>
      <c r="G1306" t="s">
        <v>9</v>
      </c>
      <c r="H1306" t="s">
        <v>67</v>
      </c>
    </row>
    <row r="1307" spans="1:8" x14ac:dyDescent="0.3">
      <c r="A1307" t="s">
        <v>89</v>
      </c>
      <c r="B1307">
        <v>1</v>
      </c>
      <c r="C1307" t="s">
        <v>79</v>
      </c>
      <c r="E1307">
        <v>1998</v>
      </c>
      <c r="G1307" t="s">
        <v>9</v>
      </c>
      <c r="H1307" t="s">
        <v>67</v>
      </c>
    </row>
    <row r="1308" spans="1:8" x14ac:dyDescent="0.3">
      <c r="A1308" t="s">
        <v>89</v>
      </c>
      <c r="B1308">
        <v>1</v>
      </c>
      <c r="C1308" t="s">
        <v>79</v>
      </c>
      <c r="E1308">
        <v>1999</v>
      </c>
      <c r="G1308" t="s">
        <v>9</v>
      </c>
      <c r="H1308" t="s">
        <v>67</v>
      </c>
    </row>
    <row r="1309" spans="1:8" x14ac:dyDescent="0.3">
      <c r="A1309" t="s">
        <v>89</v>
      </c>
      <c r="B1309">
        <v>1</v>
      </c>
      <c r="C1309" t="s">
        <v>79</v>
      </c>
      <c r="E1309">
        <v>2000</v>
      </c>
      <c r="G1309" t="s">
        <v>9</v>
      </c>
      <c r="H1309" t="s">
        <v>67</v>
      </c>
    </row>
    <row r="1310" spans="1:8" x14ac:dyDescent="0.3">
      <c r="A1310" t="s">
        <v>89</v>
      </c>
      <c r="B1310">
        <v>1</v>
      </c>
      <c r="C1310" t="s">
        <v>79</v>
      </c>
      <c r="D1310">
        <v>10.3</v>
      </c>
      <c r="E1310">
        <v>2001</v>
      </c>
      <c r="G1310" t="s">
        <v>9</v>
      </c>
      <c r="H1310" t="s">
        <v>67</v>
      </c>
    </row>
    <row r="1311" spans="1:8" x14ac:dyDescent="0.3">
      <c r="A1311" t="s">
        <v>89</v>
      </c>
      <c r="B1311">
        <v>1</v>
      </c>
      <c r="C1311" t="s">
        <v>79</v>
      </c>
      <c r="D1311">
        <v>23</v>
      </c>
      <c r="E1311">
        <v>2002</v>
      </c>
      <c r="G1311" t="s">
        <v>9</v>
      </c>
      <c r="H1311" t="s">
        <v>67</v>
      </c>
    </row>
    <row r="1312" spans="1:8" x14ac:dyDescent="0.3">
      <c r="A1312" t="s">
        <v>89</v>
      </c>
      <c r="B1312">
        <v>1</v>
      </c>
      <c r="C1312" t="s">
        <v>79</v>
      </c>
      <c r="D1312">
        <v>18.3</v>
      </c>
      <c r="E1312">
        <v>2003</v>
      </c>
      <c r="G1312" t="s">
        <v>9</v>
      </c>
      <c r="H1312" t="s">
        <v>67</v>
      </c>
    </row>
    <row r="1313" spans="1:8" x14ac:dyDescent="0.3">
      <c r="A1313" t="s">
        <v>89</v>
      </c>
      <c r="B1313">
        <v>1</v>
      </c>
      <c r="C1313" t="s">
        <v>79</v>
      </c>
      <c r="E1313">
        <v>2004</v>
      </c>
      <c r="G1313" t="s">
        <v>9</v>
      </c>
      <c r="H1313" t="s">
        <v>67</v>
      </c>
    </row>
    <row r="1314" spans="1:8" x14ac:dyDescent="0.3">
      <c r="A1314" t="s">
        <v>89</v>
      </c>
      <c r="B1314">
        <v>1</v>
      </c>
      <c r="C1314" t="s">
        <v>79</v>
      </c>
      <c r="D1314">
        <v>20.3</v>
      </c>
      <c r="E1314">
        <v>2005</v>
      </c>
      <c r="G1314" t="s">
        <v>9</v>
      </c>
      <c r="H1314" t="s">
        <v>67</v>
      </c>
    </row>
    <row r="1315" spans="1:8" x14ac:dyDescent="0.3">
      <c r="A1315" t="s">
        <v>89</v>
      </c>
      <c r="B1315">
        <v>1</v>
      </c>
      <c r="C1315" t="s">
        <v>79</v>
      </c>
      <c r="D1315">
        <v>19.899999999999999</v>
      </c>
      <c r="E1315">
        <v>2006</v>
      </c>
      <c r="G1315" t="s">
        <v>9</v>
      </c>
      <c r="H1315" t="s">
        <v>67</v>
      </c>
    </row>
    <row r="1316" spans="1:8" x14ac:dyDescent="0.3">
      <c r="A1316" t="s">
        <v>89</v>
      </c>
      <c r="B1316">
        <v>1</v>
      </c>
      <c r="C1316" t="s">
        <v>79</v>
      </c>
      <c r="D1316">
        <v>18.2</v>
      </c>
      <c r="E1316">
        <v>2007</v>
      </c>
      <c r="G1316" t="s">
        <v>9</v>
      </c>
      <c r="H1316" t="s">
        <v>67</v>
      </c>
    </row>
    <row r="1317" spans="1:8" x14ac:dyDescent="0.3">
      <c r="A1317" t="s">
        <v>89</v>
      </c>
      <c r="B1317">
        <v>1</v>
      </c>
      <c r="C1317" t="s">
        <v>79</v>
      </c>
      <c r="D1317">
        <v>14.9</v>
      </c>
      <c r="E1317">
        <v>2008</v>
      </c>
      <c r="G1317" t="s">
        <v>9</v>
      </c>
      <c r="H1317" t="s">
        <v>67</v>
      </c>
    </row>
    <row r="1318" spans="1:8" x14ac:dyDescent="0.3">
      <c r="A1318" t="s">
        <v>89</v>
      </c>
      <c r="B1318">
        <v>1</v>
      </c>
      <c r="C1318" t="s">
        <v>79</v>
      </c>
      <c r="E1318">
        <v>2009</v>
      </c>
      <c r="G1318" t="s">
        <v>9</v>
      </c>
      <c r="H1318" t="s">
        <v>67</v>
      </c>
    </row>
    <row r="1319" spans="1:8" x14ac:dyDescent="0.3">
      <c r="A1319" t="s">
        <v>89</v>
      </c>
      <c r="B1319">
        <v>1</v>
      </c>
      <c r="C1319" t="s">
        <v>79</v>
      </c>
      <c r="D1319">
        <v>10.7</v>
      </c>
      <c r="E1319">
        <v>2010</v>
      </c>
      <c r="G1319" t="s">
        <v>9</v>
      </c>
      <c r="H1319" t="s">
        <v>67</v>
      </c>
    </row>
    <row r="1320" spans="1:8" x14ac:dyDescent="0.3">
      <c r="A1320" t="s">
        <v>89</v>
      </c>
      <c r="B1320">
        <v>1</v>
      </c>
      <c r="C1320" t="s">
        <v>79</v>
      </c>
      <c r="D1320">
        <v>10.8</v>
      </c>
      <c r="E1320">
        <v>2011</v>
      </c>
      <c r="G1320" t="s">
        <v>9</v>
      </c>
      <c r="H1320" t="s">
        <v>67</v>
      </c>
    </row>
    <row r="1321" spans="1:8" x14ac:dyDescent="0.3">
      <c r="A1321" t="s">
        <v>89</v>
      </c>
      <c r="B1321">
        <v>1</v>
      </c>
      <c r="C1321" t="s">
        <v>79</v>
      </c>
      <c r="E1321">
        <v>2012</v>
      </c>
      <c r="G1321" t="s">
        <v>9</v>
      </c>
      <c r="H1321" t="s">
        <v>67</v>
      </c>
    </row>
    <row r="1322" spans="1:8" x14ac:dyDescent="0.3">
      <c r="A1322" t="s">
        <v>89</v>
      </c>
      <c r="B1322">
        <v>1</v>
      </c>
      <c r="C1322" t="s">
        <v>79</v>
      </c>
      <c r="E1322">
        <v>2013</v>
      </c>
      <c r="G1322" t="s">
        <v>9</v>
      </c>
      <c r="H1322" t="s">
        <v>67</v>
      </c>
    </row>
    <row r="1323" spans="1:8" x14ac:dyDescent="0.3">
      <c r="A1323" t="s">
        <v>89</v>
      </c>
      <c r="B1323">
        <v>1</v>
      </c>
      <c r="C1323" t="s">
        <v>79</v>
      </c>
      <c r="D1323">
        <v>4.2</v>
      </c>
      <c r="E1323">
        <v>2014</v>
      </c>
      <c r="G1323" t="s">
        <v>9</v>
      </c>
      <c r="H1323" t="s">
        <v>67</v>
      </c>
    </row>
    <row r="1324" spans="1:8" x14ac:dyDescent="0.3">
      <c r="A1324" t="s">
        <v>89</v>
      </c>
      <c r="B1324">
        <v>1</v>
      </c>
      <c r="C1324" t="s">
        <v>79</v>
      </c>
      <c r="E1324">
        <v>2015</v>
      </c>
      <c r="G1324" t="s">
        <v>9</v>
      </c>
      <c r="H1324" t="s">
        <v>67</v>
      </c>
    </row>
    <row r="1325" spans="1:8" x14ac:dyDescent="0.3">
      <c r="A1325" t="s">
        <v>89</v>
      </c>
      <c r="B1325">
        <v>1</v>
      </c>
      <c r="C1325" t="s">
        <v>79</v>
      </c>
      <c r="E1325">
        <v>2016</v>
      </c>
      <c r="G1325" t="s">
        <v>9</v>
      </c>
      <c r="H1325" t="s">
        <v>67</v>
      </c>
    </row>
    <row r="1326" spans="1:8" x14ac:dyDescent="0.3">
      <c r="A1326" t="s">
        <v>89</v>
      </c>
      <c r="B1326">
        <v>1</v>
      </c>
      <c r="C1326" t="s">
        <v>79</v>
      </c>
      <c r="E1326">
        <v>2017</v>
      </c>
      <c r="G1326" t="s">
        <v>9</v>
      </c>
      <c r="H1326" t="s">
        <v>67</v>
      </c>
    </row>
    <row r="1327" spans="1:8" x14ac:dyDescent="0.3">
      <c r="A1327" t="s">
        <v>89</v>
      </c>
      <c r="B1327">
        <v>1</v>
      </c>
      <c r="C1327" t="s">
        <v>79</v>
      </c>
      <c r="E1327">
        <v>2018</v>
      </c>
      <c r="G1327" t="s">
        <v>9</v>
      </c>
      <c r="H1327" t="s">
        <v>67</v>
      </c>
    </row>
    <row r="1328" spans="1:8" x14ac:dyDescent="0.3">
      <c r="A1328" t="s">
        <v>89</v>
      </c>
      <c r="B1328">
        <v>1</v>
      </c>
      <c r="C1328" t="s">
        <v>79</v>
      </c>
      <c r="D1328">
        <v>5.8</v>
      </c>
      <c r="E1328">
        <v>2019</v>
      </c>
      <c r="G1328" t="s">
        <v>9</v>
      </c>
      <c r="H1328" t="s">
        <v>67</v>
      </c>
    </row>
    <row r="1329" spans="1:8" x14ac:dyDescent="0.3">
      <c r="A1329" t="s">
        <v>89</v>
      </c>
      <c r="B1329">
        <v>1</v>
      </c>
      <c r="C1329" t="s">
        <v>79</v>
      </c>
      <c r="D1329">
        <v>3.78</v>
      </c>
      <c r="E1329">
        <v>2020</v>
      </c>
      <c r="G1329" t="s">
        <v>9</v>
      </c>
      <c r="H1329" t="s">
        <v>67</v>
      </c>
    </row>
    <row r="1330" spans="1:8" x14ac:dyDescent="0.3">
      <c r="A1330" t="s">
        <v>90</v>
      </c>
      <c r="B1330">
        <v>1</v>
      </c>
      <c r="C1330" t="s">
        <v>84</v>
      </c>
      <c r="D1330">
        <v>25.3</v>
      </c>
      <c r="E1330">
        <v>1975</v>
      </c>
      <c r="G1330" t="s">
        <v>9</v>
      </c>
      <c r="H1330" t="s">
        <v>67</v>
      </c>
    </row>
    <row r="1331" spans="1:8" x14ac:dyDescent="0.3">
      <c r="A1331" t="s">
        <v>90</v>
      </c>
      <c r="B1331">
        <v>1</v>
      </c>
      <c r="C1331" t="s">
        <v>84</v>
      </c>
      <c r="E1331">
        <v>1976</v>
      </c>
      <c r="G1331" t="s">
        <v>9</v>
      </c>
      <c r="H1331" t="s">
        <v>67</v>
      </c>
    </row>
    <row r="1332" spans="1:8" x14ac:dyDescent="0.3">
      <c r="A1332" t="s">
        <v>90</v>
      </c>
      <c r="B1332">
        <v>1</v>
      </c>
      <c r="C1332" t="s">
        <v>84</v>
      </c>
      <c r="E1332">
        <v>1977</v>
      </c>
      <c r="G1332" t="s">
        <v>9</v>
      </c>
      <c r="H1332" t="s">
        <v>67</v>
      </c>
    </row>
    <row r="1333" spans="1:8" x14ac:dyDescent="0.3">
      <c r="A1333" t="s">
        <v>90</v>
      </c>
      <c r="B1333">
        <v>1</v>
      </c>
      <c r="C1333" t="s">
        <v>84</v>
      </c>
      <c r="E1333">
        <v>1978</v>
      </c>
      <c r="G1333" t="s">
        <v>9</v>
      </c>
      <c r="H1333" t="s">
        <v>67</v>
      </c>
    </row>
    <row r="1334" spans="1:8" x14ac:dyDescent="0.3">
      <c r="A1334" t="s">
        <v>90</v>
      </c>
      <c r="B1334">
        <v>1</v>
      </c>
      <c r="C1334" t="s">
        <v>84</v>
      </c>
      <c r="E1334">
        <v>1979</v>
      </c>
      <c r="G1334" t="s">
        <v>9</v>
      </c>
      <c r="H1334" t="s">
        <v>67</v>
      </c>
    </row>
    <row r="1335" spans="1:8" x14ac:dyDescent="0.3">
      <c r="A1335" t="s">
        <v>90</v>
      </c>
      <c r="B1335">
        <v>1</v>
      </c>
      <c r="C1335" t="s">
        <v>84</v>
      </c>
      <c r="E1335">
        <v>1980</v>
      </c>
      <c r="G1335" t="s">
        <v>9</v>
      </c>
      <c r="H1335" t="s">
        <v>67</v>
      </c>
    </row>
    <row r="1336" spans="1:8" x14ac:dyDescent="0.3">
      <c r="A1336" t="s">
        <v>90</v>
      </c>
      <c r="B1336">
        <v>1</v>
      </c>
      <c r="C1336" t="s">
        <v>84</v>
      </c>
      <c r="E1336">
        <v>1981</v>
      </c>
      <c r="G1336" t="s">
        <v>9</v>
      </c>
      <c r="H1336" t="s">
        <v>67</v>
      </c>
    </row>
    <row r="1337" spans="1:8" x14ac:dyDescent="0.3">
      <c r="A1337" t="s">
        <v>90</v>
      </c>
      <c r="B1337">
        <v>1</v>
      </c>
      <c r="C1337" t="s">
        <v>84</v>
      </c>
      <c r="E1337">
        <v>1982</v>
      </c>
      <c r="G1337" t="s">
        <v>9</v>
      </c>
      <c r="H1337" t="s">
        <v>67</v>
      </c>
    </row>
    <row r="1338" spans="1:8" x14ac:dyDescent="0.3">
      <c r="A1338" t="s">
        <v>90</v>
      </c>
      <c r="B1338">
        <v>1</v>
      </c>
      <c r="C1338" t="s">
        <v>84</v>
      </c>
      <c r="E1338">
        <v>1983</v>
      </c>
      <c r="G1338" t="s">
        <v>9</v>
      </c>
      <c r="H1338" t="s">
        <v>67</v>
      </c>
    </row>
    <row r="1339" spans="1:8" x14ac:dyDescent="0.3">
      <c r="A1339" t="s">
        <v>90</v>
      </c>
      <c r="B1339">
        <v>1</v>
      </c>
      <c r="C1339" t="s">
        <v>84</v>
      </c>
      <c r="E1339">
        <v>1984</v>
      </c>
      <c r="G1339" t="s">
        <v>9</v>
      </c>
      <c r="H1339" t="s">
        <v>67</v>
      </c>
    </row>
    <row r="1340" spans="1:8" x14ac:dyDescent="0.3">
      <c r="A1340" t="s">
        <v>90</v>
      </c>
      <c r="B1340">
        <v>1</v>
      </c>
      <c r="C1340" t="s">
        <v>84</v>
      </c>
      <c r="E1340">
        <v>1985</v>
      </c>
      <c r="G1340" t="s">
        <v>9</v>
      </c>
      <c r="H1340" t="s">
        <v>67</v>
      </c>
    </row>
    <row r="1341" spans="1:8" x14ac:dyDescent="0.3">
      <c r="A1341" t="s">
        <v>90</v>
      </c>
      <c r="B1341">
        <v>1</v>
      </c>
      <c r="C1341" t="s">
        <v>84</v>
      </c>
      <c r="E1341">
        <v>1986</v>
      </c>
      <c r="G1341" t="s">
        <v>9</v>
      </c>
      <c r="H1341" t="s">
        <v>67</v>
      </c>
    </row>
    <row r="1342" spans="1:8" x14ac:dyDescent="0.3">
      <c r="A1342" t="s">
        <v>90</v>
      </c>
      <c r="B1342">
        <v>1</v>
      </c>
      <c r="C1342" t="s">
        <v>84</v>
      </c>
      <c r="D1342">
        <v>25.3</v>
      </c>
      <c r="E1342">
        <v>1987</v>
      </c>
      <c r="G1342" t="s">
        <v>9</v>
      </c>
      <c r="H1342" t="s">
        <v>67</v>
      </c>
    </row>
    <row r="1343" spans="1:8" x14ac:dyDescent="0.3">
      <c r="A1343" t="s">
        <v>90</v>
      </c>
      <c r="B1343">
        <v>1</v>
      </c>
      <c r="C1343" t="s">
        <v>84</v>
      </c>
      <c r="E1343">
        <v>1988</v>
      </c>
      <c r="G1343" t="s">
        <v>9</v>
      </c>
      <c r="H1343" t="s">
        <v>67</v>
      </c>
    </row>
    <row r="1344" spans="1:8" x14ac:dyDescent="0.3">
      <c r="A1344" t="s">
        <v>90</v>
      </c>
      <c r="B1344">
        <v>1</v>
      </c>
      <c r="C1344" t="s">
        <v>84</v>
      </c>
      <c r="E1344">
        <v>1989</v>
      </c>
      <c r="G1344" t="s">
        <v>9</v>
      </c>
      <c r="H1344" t="s">
        <v>67</v>
      </c>
    </row>
    <row r="1345" spans="1:8" x14ac:dyDescent="0.3">
      <c r="A1345" t="s">
        <v>90</v>
      </c>
      <c r="B1345">
        <v>1</v>
      </c>
      <c r="C1345" t="s">
        <v>84</v>
      </c>
      <c r="E1345">
        <v>1990</v>
      </c>
      <c r="G1345" t="s">
        <v>9</v>
      </c>
      <c r="H1345" t="s">
        <v>67</v>
      </c>
    </row>
    <row r="1346" spans="1:8" x14ac:dyDescent="0.3">
      <c r="A1346" t="s">
        <v>90</v>
      </c>
      <c r="B1346">
        <v>1</v>
      </c>
      <c r="C1346" t="s">
        <v>84</v>
      </c>
      <c r="E1346">
        <v>1991</v>
      </c>
      <c r="G1346" t="s">
        <v>9</v>
      </c>
      <c r="H1346" t="s">
        <v>67</v>
      </c>
    </row>
    <row r="1347" spans="1:8" x14ac:dyDescent="0.3">
      <c r="A1347" t="s">
        <v>90</v>
      </c>
      <c r="B1347">
        <v>1</v>
      </c>
      <c r="C1347" t="s">
        <v>84</v>
      </c>
      <c r="E1347">
        <v>1992</v>
      </c>
      <c r="G1347" t="s">
        <v>9</v>
      </c>
      <c r="H1347" t="s">
        <v>67</v>
      </c>
    </row>
    <row r="1348" spans="1:8" x14ac:dyDescent="0.3">
      <c r="A1348" t="s">
        <v>90</v>
      </c>
      <c r="B1348">
        <v>1</v>
      </c>
      <c r="C1348" t="s">
        <v>84</v>
      </c>
      <c r="E1348">
        <v>1993</v>
      </c>
      <c r="G1348" t="s">
        <v>9</v>
      </c>
      <c r="H1348" t="s">
        <v>67</v>
      </c>
    </row>
    <row r="1349" spans="1:8" x14ac:dyDescent="0.3">
      <c r="A1349" t="s">
        <v>90</v>
      </c>
      <c r="B1349">
        <v>1</v>
      </c>
      <c r="C1349" t="s">
        <v>84</v>
      </c>
      <c r="E1349">
        <v>1994</v>
      </c>
      <c r="G1349" t="s">
        <v>9</v>
      </c>
      <c r="H1349" t="s">
        <v>67</v>
      </c>
    </row>
    <row r="1350" spans="1:8" x14ac:dyDescent="0.3">
      <c r="A1350" t="s">
        <v>90</v>
      </c>
      <c r="B1350">
        <v>1</v>
      </c>
      <c r="C1350" t="s">
        <v>84</v>
      </c>
      <c r="E1350">
        <v>1995</v>
      </c>
      <c r="G1350" t="s">
        <v>9</v>
      </c>
      <c r="H1350" t="s">
        <v>67</v>
      </c>
    </row>
    <row r="1351" spans="1:8" x14ac:dyDescent="0.3">
      <c r="A1351" t="s">
        <v>90</v>
      </c>
      <c r="B1351">
        <v>1</v>
      </c>
      <c r="C1351" t="s">
        <v>84</v>
      </c>
      <c r="E1351">
        <v>1996</v>
      </c>
      <c r="G1351" t="s">
        <v>9</v>
      </c>
      <c r="H1351" t="s">
        <v>67</v>
      </c>
    </row>
    <row r="1352" spans="1:8" x14ac:dyDescent="0.3">
      <c r="A1352" t="s">
        <v>90</v>
      </c>
      <c r="B1352">
        <v>1</v>
      </c>
      <c r="C1352" t="s">
        <v>84</v>
      </c>
      <c r="E1352">
        <v>1997</v>
      </c>
      <c r="G1352" t="s">
        <v>9</v>
      </c>
      <c r="H1352" t="s">
        <v>67</v>
      </c>
    </row>
    <row r="1353" spans="1:8" x14ac:dyDescent="0.3">
      <c r="A1353" t="s">
        <v>90</v>
      </c>
      <c r="B1353">
        <v>1</v>
      </c>
      <c r="C1353" t="s">
        <v>84</v>
      </c>
      <c r="E1353">
        <v>1998</v>
      </c>
      <c r="G1353" t="s">
        <v>9</v>
      </c>
      <c r="H1353" t="s">
        <v>67</v>
      </c>
    </row>
    <row r="1354" spans="1:8" x14ac:dyDescent="0.3">
      <c r="A1354" t="s">
        <v>90</v>
      </c>
      <c r="B1354">
        <v>1</v>
      </c>
      <c r="C1354" t="s">
        <v>84</v>
      </c>
      <c r="E1354">
        <v>1999</v>
      </c>
      <c r="G1354" t="s">
        <v>9</v>
      </c>
      <c r="H1354" t="s">
        <v>67</v>
      </c>
    </row>
    <row r="1355" spans="1:8" x14ac:dyDescent="0.3">
      <c r="A1355" t="s">
        <v>90</v>
      </c>
      <c r="B1355">
        <v>1</v>
      </c>
      <c r="C1355" t="s">
        <v>84</v>
      </c>
      <c r="E1355">
        <v>2000</v>
      </c>
      <c r="G1355" t="s">
        <v>9</v>
      </c>
      <c r="H1355" t="s">
        <v>67</v>
      </c>
    </row>
    <row r="1356" spans="1:8" x14ac:dyDescent="0.3">
      <c r="A1356" t="s">
        <v>90</v>
      </c>
      <c r="B1356">
        <v>1</v>
      </c>
      <c r="C1356" t="s">
        <v>84</v>
      </c>
      <c r="E1356">
        <v>2001</v>
      </c>
      <c r="G1356" t="s">
        <v>9</v>
      </c>
      <c r="H1356" t="s">
        <v>67</v>
      </c>
    </row>
    <row r="1357" spans="1:8" x14ac:dyDescent="0.3">
      <c r="A1357" t="s">
        <v>90</v>
      </c>
      <c r="B1357">
        <v>1</v>
      </c>
      <c r="C1357" t="s">
        <v>84</v>
      </c>
      <c r="D1357">
        <v>39.799999999999997</v>
      </c>
      <c r="E1357">
        <v>2002</v>
      </c>
      <c r="G1357" t="s">
        <v>9</v>
      </c>
      <c r="H1357" t="s">
        <v>67</v>
      </c>
    </row>
    <row r="1358" spans="1:8" x14ac:dyDescent="0.3">
      <c r="A1358" t="s">
        <v>90</v>
      </c>
      <c r="B1358">
        <v>1</v>
      </c>
      <c r="C1358" t="s">
        <v>84</v>
      </c>
      <c r="D1358">
        <v>31.1</v>
      </c>
      <c r="E1358">
        <v>2003</v>
      </c>
      <c r="G1358" t="s">
        <v>9</v>
      </c>
      <c r="H1358" t="s">
        <v>67</v>
      </c>
    </row>
    <row r="1359" spans="1:8" x14ac:dyDescent="0.3">
      <c r="A1359" t="s">
        <v>90</v>
      </c>
      <c r="B1359">
        <v>1</v>
      </c>
      <c r="C1359" t="s">
        <v>84</v>
      </c>
      <c r="E1359">
        <v>2004</v>
      </c>
      <c r="G1359" t="s">
        <v>9</v>
      </c>
      <c r="H1359" t="s">
        <v>67</v>
      </c>
    </row>
    <row r="1360" spans="1:8" x14ac:dyDescent="0.3">
      <c r="A1360" t="s">
        <v>90</v>
      </c>
      <c r="B1360">
        <v>1</v>
      </c>
      <c r="C1360" t="s">
        <v>84</v>
      </c>
      <c r="D1360">
        <v>23.5</v>
      </c>
      <c r="E1360">
        <v>2005</v>
      </c>
      <c r="G1360" t="s">
        <v>9</v>
      </c>
      <c r="H1360" t="s">
        <v>67</v>
      </c>
    </row>
    <row r="1361" spans="1:8" x14ac:dyDescent="0.3">
      <c r="A1361" t="s">
        <v>90</v>
      </c>
      <c r="B1361">
        <v>1</v>
      </c>
      <c r="C1361" t="s">
        <v>84</v>
      </c>
      <c r="D1361">
        <v>42.1</v>
      </c>
      <c r="E1361">
        <v>2006</v>
      </c>
      <c r="G1361" t="s">
        <v>9</v>
      </c>
      <c r="H1361" t="s">
        <v>67</v>
      </c>
    </row>
    <row r="1362" spans="1:8" x14ac:dyDescent="0.3">
      <c r="A1362" t="s">
        <v>90</v>
      </c>
      <c r="B1362">
        <v>1</v>
      </c>
      <c r="C1362" t="s">
        <v>84</v>
      </c>
      <c r="D1362">
        <v>37.299999999999997</v>
      </c>
      <c r="E1362">
        <v>2007</v>
      </c>
      <c r="G1362" t="s">
        <v>9</v>
      </c>
      <c r="H1362" t="s">
        <v>67</v>
      </c>
    </row>
    <row r="1363" spans="1:8" x14ac:dyDescent="0.3">
      <c r="A1363" t="s">
        <v>90</v>
      </c>
      <c r="B1363">
        <v>1</v>
      </c>
      <c r="C1363" t="s">
        <v>84</v>
      </c>
      <c r="D1363">
        <v>24.2</v>
      </c>
      <c r="E1363">
        <v>2008</v>
      </c>
      <c r="G1363" t="s">
        <v>9</v>
      </c>
      <c r="H1363" t="s">
        <v>67</v>
      </c>
    </row>
    <row r="1364" spans="1:8" x14ac:dyDescent="0.3">
      <c r="A1364" t="s">
        <v>90</v>
      </c>
      <c r="B1364">
        <v>1</v>
      </c>
      <c r="C1364" t="s">
        <v>84</v>
      </c>
      <c r="D1364">
        <v>30.3</v>
      </c>
      <c r="E1364">
        <v>2009</v>
      </c>
      <c r="G1364" t="s">
        <v>9</v>
      </c>
      <c r="H1364" t="s">
        <v>67</v>
      </c>
    </row>
    <row r="1365" spans="1:8" x14ac:dyDescent="0.3">
      <c r="A1365" t="s">
        <v>90</v>
      </c>
      <c r="B1365">
        <v>1</v>
      </c>
      <c r="C1365" t="s">
        <v>84</v>
      </c>
      <c r="D1365">
        <v>24.5</v>
      </c>
      <c r="E1365">
        <v>2010</v>
      </c>
      <c r="G1365" t="s">
        <v>9</v>
      </c>
      <c r="H1365" t="s">
        <v>67</v>
      </c>
    </row>
    <row r="1366" spans="1:8" x14ac:dyDescent="0.3">
      <c r="A1366" t="s">
        <v>90</v>
      </c>
      <c r="B1366">
        <v>1</v>
      </c>
      <c r="C1366" t="s">
        <v>84</v>
      </c>
      <c r="D1366">
        <v>44.9</v>
      </c>
      <c r="E1366">
        <v>2011</v>
      </c>
      <c r="G1366" t="s">
        <v>9</v>
      </c>
      <c r="H1366" t="s">
        <v>67</v>
      </c>
    </row>
    <row r="1367" spans="1:8" x14ac:dyDescent="0.3">
      <c r="A1367" t="s">
        <v>90</v>
      </c>
      <c r="B1367">
        <v>1</v>
      </c>
      <c r="C1367" t="s">
        <v>84</v>
      </c>
      <c r="E1367">
        <v>2012</v>
      </c>
      <c r="G1367" t="s">
        <v>9</v>
      </c>
      <c r="H1367" t="s">
        <v>67</v>
      </c>
    </row>
    <row r="1368" spans="1:8" x14ac:dyDescent="0.3">
      <c r="A1368" t="s">
        <v>90</v>
      </c>
      <c r="B1368">
        <v>1</v>
      </c>
      <c r="C1368" t="s">
        <v>84</v>
      </c>
      <c r="E1368">
        <v>2013</v>
      </c>
      <c r="G1368" t="s">
        <v>9</v>
      </c>
      <c r="H1368" t="s">
        <v>67</v>
      </c>
    </row>
    <row r="1369" spans="1:8" x14ac:dyDescent="0.3">
      <c r="A1369" t="s">
        <v>90</v>
      </c>
      <c r="B1369">
        <v>1</v>
      </c>
      <c r="C1369" t="s">
        <v>84</v>
      </c>
      <c r="D1369">
        <v>29.7</v>
      </c>
      <c r="E1369">
        <v>2014</v>
      </c>
      <c r="G1369" t="s">
        <v>9</v>
      </c>
      <c r="H1369" t="s">
        <v>67</v>
      </c>
    </row>
    <row r="1370" spans="1:8" x14ac:dyDescent="0.3">
      <c r="A1370" t="s">
        <v>90</v>
      </c>
      <c r="B1370">
        <v>1</v>
      </c>
      <c r="C1370" t="s">
        <v>84</v>
      </c>
      <c r="E1370">
        <v>2015</v>
      </c>
      <c r="G1370" t="s">
        <v>9</v>
      </c>
      <c r="H1370" t="s">
        <v>67</v>
      </c>
    </row>
    <row r="1371" spans="1:8" x14ac:dyDescent="0.3">
      <c r="A1371" t="s">
        <v>90</v>
      </c>
      <c r="B1371">
        <v>1</v>
      </c>
      <c r="C1371" t="s">
        <v>84</v>
      </c>
      <c r="E1371">
        <v>2016</v>
      </c>
      <c r="G1371" t="s">
        <v>9</v>
      </c>
      <c r="H1371" t="s">
        <v>67</v>
      </c>
    </row>
    <row r="1372" spans="1:8" x14ac:dyDescent="0.3">
      <c r="A1372" t="s">
        <v>90</v>
      </c>
      <c r="B1372">
        <v>1</v>
      </c>
      <c r="C1372" t="s">
        <v>84</v>
      </c>
      <c r="E1372">
        <v>2017</v>
      </c>
      <c r="G1372" t="s">
        <v>9</v>
      </c>
      <c r="H1372" t="s">
        <v>67</v>
      </c>
    </row>
    <row r="1373" spans="1:8" x14ac:dyDescent="0.3">
      <c r="A1373" t="s">
        <v>90</v>
      </c>
      <c r="B1373">
        <v>1</v>
      </c>
      <c r="C1373" t="s">
        <v>84</v>
      </c>
      <c r="D1373">
        <v>35.6</v>
      </c>
      <c r="E1373">
        <v>2018</v>
      </c>
      <c r="G1373" t="s">
        <v>9</v>
      </c>
      <c r="H1373" t="s">
        <v>67</v>
      </c>
    </row>
    <row r="1374" spans="1:8" x14ac:dyDescent="0.3">
      <c r="A1374" t="s">
        <v>90</v>
      </c>
      <c r="B1374">
        <v>1</v>
      </c>
      <c r="C1374" t="s">
        <v>84</v>
      </c>
      <c r="E1374">
        <v>2019</v>
      </c>
      <c r="G1374" t="s">
        <v>9</v>
      </c>
      <c r="H1374" t="s">
        <v>67</v>
      </c>
    </row>
    <row r="1375" spans="1:8" x14ac:dyDescent="0.3">
      <c r="A1375" t="s">
        <v>90</v>
      </c>
      <c r="B1375">
        <v>1</v>
      </c>
      <c r="C1375" t="s">
        <v>84</v>
      </c>
      <c r="D1375">
        <v>28.54</v>
      </c>
      <c r="E1375">
        <v>2020</v>
      </c>
      <c r="G1375" t="s">
        <v>9</v>
      </c>
      <c r="H1375" t="s">
        <v>67</v>
      </c>
    </row>
    <row r="1376" spans="1:8" x14ac:dyDescent="0.3">
      <c r="A1376" t="s">
        <v>80</v>
      </c>
      <c r="B1376">
        <v>1</v>
      </c>
      <c r="C1376" t="s">
        <v>81</v>
      </c>
      <c r="D1376">
        <v>23.8</v>
      </c>
      <c r="E1376">
        <v>1987</v>
      </c>
      <c r="G1376" t="s">
        <v>9</v>
      </c>
      <c r="H1376" t="s">
        <v>67</v>
      </c>
    </row>
    <row r="1377" spans="1:8" ht="13.8" customHeight="1" x14ac:dyDescent="0.3">
      <c r="A1377" t="s">
        <v>80</v>
      </c>
      <c r="B1377">
        <v>1</v>
      </c>
      <c r="C1377" t="s">
        <v>81</v>
      </c>
      <c r="E1377">
        <v>1988</v>
      </c>
      <c r="G1377" t="s">
        <v>9</v>
      </c>
      <c r="H1377" t="s">
        <v>67</v>
      </c>
    </row>
    <row r="1378" spans="1:8" ht="13.8" customHeight="1" x14ac:dyDescent="0.3">
      <c r="A1378" t="s">
        <v>80</v>
      </c>
      <c r="B1378">
        <v>1</v>
      </c>
      <c r="C1378" t="s">
        <v>81</v>
      </c>
      <c r="E1378">
        <v>1989</v>
      </c>
      <c r="G1378" t="s">
        <v>9</v>
      </c>
      <c r="H1378" t="s">
        <v>67</v>
      </c>
    </row>
    <row r="1379" spans="1:8" ht="13.8" customHeight="1" x14ac:dyDescent="0.3">
      <c r="A1379" t="s">
        <v>80</v>
      </c>
      <c r="B1379">
        <v>1</v>
      </c>
      <c r="C1379" t="s">
        <v>81</v>
      </c>
      <c r="E1379">
        <v>1990</v>
      </c>
      <c r="G1379" t="s">
        <v>9</v>
      </c>
      <c r="H1379" t="s">
        <v>67</v>
      </c>
    </row>
    <row r="1380" spans="1:8" ht="13.8" customHeight="1" x14ac:dyDescent="0.3">
      <c r="A1380" t="s">
        <v>80</v>
      </c>
      <c r="B1380">
        <v>1</v>
      </c>
      <c r="C1380" t="s">
        <v>81</v>
      </c>
      <c r="E1380">
        <v>1991</v>
      </c>
      <c r="G1380" t="s">
        <v>9</v>
      </c>
      <c r="H1380" t="s">
        <v>67</v>
      </c>
    </row>
    <row r="1381" spans="1:8" ht="13.8" customHeight="1" x14ac:dyDescent="0.3">
      <c r="A1381" t="s">
        <v>80</v>
      </c>
      <c r="B1381">
        <v>1</v>
      </c>
      <c r="C1381" t="s">
        <v>81</v>
      </c>
      <c r="E1381">
        <v>1992</v>
      </c>
      <c r="G1381" t="s">
        <v>9</v>
      </c>
      <c r="H1381" t="s">
        <v>67</v>
      </c>
    </row>
    <row r="1382" spans="1:8" x14ac:dyDescent="0.3">
      <c r="A1382" t="s">
        <v>80</v>
      </c>
      <c r="B1382">
        <v>1</v>
      </c>
      <c r="C1382" t="s">
        <v>81</v>
      </c>
      <c r="E1382">
        <v>1993</v>
      </c>
      <c r="G1382" t="s">
        <v>9</v>
      </c>
      <c r="H1382" t="s">
        <v>67</v>
      </c>
    </row>
    <row r="1383" spans="1:8" x14ac:dyDescent="0.3">
      <c r="A1383" t="s">
        <v>80</v>
      </c>
      <c r="B1383">
        <v>1</v>
      </c>
      <c r="C1383" t="s">
        <v>81</v>
      </c>
      <c r="E1383">
        <v>1994</v>
      </c>
      <c r="G1383" t="s">
        <v>9</v>
      </c>
      <c r="H1383" t="s">
        <v>67</v>
      </c>
    </row>
    <row r="1384" spans="1:8" x14ac:dyDescent="0.3">
      <c r="A1384" t="s">
        <v>80</v>
      </c>
      <c r="B1384">
        <v>1</v>
      </c>
      <c r="C1384" t="s">
        <v>81</v>
      </c>
      <c r="E1384">
        <v>1995</v>
      </c>
      <c r="G1384" t="s">
        <v>9</v>
      </c>
      <c r="H1384" t="s">
        <v>67</v>
      </c>
    </row>
    <row r="1385" spans="1:8" x14ac:dyDescent="0.3">
      <c r="A1385" t="s">
        <v>80</v>
      </c>
      <c r="B1385">
        <v>1</v>
      </c>
      <c r="C1385" t="s">
        <v>81</v>
      </c>
      <c r="E1385">
        <v>1996</v>
      </c>
      <c r="G1385" t="s">
        <v>9</v>
      </c>
      <c r="H1385" t="s">
        <v>67</v>
      </c>
    </row>
    <row r="1386" spans="1:8" x14ac:dyDescent="0.3">
      <c r="A1386" t="s">
        <v>80</v>
      </c>
      <c r="B1386">
        <v>1</v>
      </c>
      <c r="C1386" t="s">
        <v>81</v>
      </c>
      <c r="E1386">
        <v>1997</v>
      </c>
      <c r="G1386" t="s">
        <v>9</v>
      </c>
      <c r="H1386" t="s">
        <v>67</v>
      </c>
    </row>
    <row r="1387" spans="1:8" x14ac:dyDescent="0.3">
      <c r="A1387" t="s">
        <v>80</v>
      </c>
      <c r="B1387">
        <v>1</v>
      </c>
      <c r="C1387" t="s">
        <v>81</v>
      </c>
      <c r="E1387">
        <v>1998</v>
      </c>
      <c r="G1387" t="s">
        <v>9</v>
      </c>
      <c r="H1387" t="s">
        <v>67</v>
      </c>
    </row>
    <row r="1388" spans="1:8" x14ac:dyDescent="0.3">
      <c r="A1388" t="s">
        <v>80</v>
      </c>
      <c r="B1388">
        <v>1</v>
      </c>
      <c r="C1388" t="s">
        <v>81</v>
      </c>
      <c r="E1388">
        <v>1999</v>
      </c>
      <c r="G1388" t="s">
        <v>9</v>
      </c>
      <c r="H1388" t="s">
        <v>67</v>
      </c>
    </row>
    <row r="1389" spans="1:8" x14ac:dyDescent="0.3">
      <c r="A1389" t="s">
        <v>80</v>
      </c>
      <c r="B1389">
        <v>1</v>
      </c>
      <c r="C1389" t="s">
        <v>81</v>
      </c>
      <c r="E1389">
        <v>2000</v>
      </c>
      <c r="G1389" t="s">
        <v>9</v>
      </c>
      <c r="H1389" t="s">
        <v>67</v>
      </c>
    </row>
    <row r="1390" spans="1:8" x14ac:dyDescent="0.3">
      <c r="A1390" t="s">
        <v>80</v>
      </c>
      <c r="B1390">
        <v>1</v>
      </c>
      <c r="C1390" t="s">
        <v>81</v>
      </c>
      <c r="E1390">
        <v>2001</v>
      </c>
      <c r="G1390" t="s">
        <v>9</v>
      </c>
      <c r="H1390" t="s">
        <v>67</v>
      </c>
    </row>
    <row r="1391" spans="1:8" x14ac:dyDescent="0.3">
      <c r="A1391" t="s">
        <v>80</v>
      </c>
      <c r="B1391">
        <v>1</v>
      </c>
      <c r="C1391" t="s">
        <v>81</v>
      </c>
      <c r="D1391">
        <v>6.4</v>
      </c>
      <c r="E1391">
        <v>2002</v>
      </c>
      <c r="G1391" t="s">
        <v>9</v>
      </c>
      <c r="H1391" t="s">
        <v>67</v>
      </c>
    </row>
    <row r="1392" spans="1:8" x14ac:dyDescent="0.3">
      <c r="A1392" t="s">
        <v>80</v>
      </c>
      <c r="B1392">
        <v>1</v>
      </c>
      <c r="C1392" t="s">
        <v>81</v>
      </c>
      <c r="D1392">
        <v>6.9</v>
      </c>
      <c r="E1392">
        <v>2003</v>
      </c>
      <c r="G1392" t="s">
        <v>9</v>
      </c>
      <c r="H1392" t="s">
        <v>67</v>
      </c>
    </row>
    <row r="1393" spans="1:8" x14ac:dyDescent="0.3">
      <c r="A1393" t="s">
        <v>80</v>
      </c>
      <c r="B1393">
        <v>1</v>
      </c>
      <c r="C1393" t="s">
        <v>81</v>
      </c>
      <c r="D1393">
        <v>6.6</v>
      </c>
      <c r="E1393">
        <v>2004</v>
      </c>
      <c r="G1393" t="s">
        <v>9</v>
      </c>
      <c r="H1393" t="s">
        <v>67</v>
      </c>
    </row>
    <row r="1394" spans="1:8" x14ac:dyDescent="0.3">
      <c r="A1394" t="s">
        <v>80</v>
      </c>
      <c r="B1394">
        <v>1</v>
      </c>
      <c r="C1394" t="s">
        <v>81</v>
      </c>
      <c r="D1394">
        <v>5.8</v>
      </c>
      <c r="E1394">
        <v>2005</v>
      </c>
      <c r="G1394" t="s">
        <v>9</v>
      </c>
      <c r="H1394" t="s">
        <v>67</v>
      </c>
    </row>
    <row r="1395" spans="1:8" x14ac:dyDescent="0.3">
      <c r="A1395" t="s">
        <v>80</v>
      </c>
      <c r="B1395">
        <v>1</v>
      </c>
      <c r="C1395" t="s">
        <v>81</v>
      </c>
      <c r="D1395">
        <v>6.6</v>
      </c>
      <c r="E1395">
        <v>2006</v>
      </c>
      <c r="G1395" t="s">
        <v>9</v>
      </c>
      <c r="H1395" t="s">
        <v>67</v>
      </c>
    </row>
    <row r="1396" spans="1:8" x14ac:dyDescent="0.3">
      <c r="A1396" t="s">
        <v>80</v>
      </c>
      <c r="B1396">
        <v>1</v>
      </c>
      <c r="C1396" t="s">
        <v>81</v>
      </c>
      <c r="D1396">
        <v>4</v>
      </c>
      <c r="E1396">
        <v>2007</v>
      </c>
      <c r="G1396" t="s">
        <v>9</v>
      </c>
      <c r="H1396" t="s">
        <v>67</v>
      </c>
    </row>
    <row r="1397" spans="1:8" x14ac:dyDescent="0.3">
      <c r="A1397" t="s">
        <v>80</v>
      </c>
      <c r="B1397">
        <v>1</v>
      </c>
      <c r="C1397" t="s">
        <v>81</v>
      </c>
      <c r="D1397">
        <v>2.5</v>
      </c>
      <c r="E1397">
        <v>2008</v>
      </c>
      <c r="G1397" t="s">
        <v>9</v>
      </c>
      <c r="H1397" t="s">
        <v>67</v>
      </c>
    </row>
    <row r="1398" spans="1:8" x14ac:dyDescent="0.3">
      <c r="A1398" t="s">
        <v>80</v>
      </c>
      <c r="B1398">
        <v>1</v>
      </c>
      <c r="C1398" t="s">
        <v>81</v>
      </c>
      <c r="D1398">
        <v>4.7</v>
      </c>
      <c r="E1398">
        <v>2009</v>
      </c>
      <c r="G1398" t="s">
        <v>9</v>
      </c>
      <c r="H1398" t="s">
        <v>67</v>
      </c>
    </row>
    <row r="1399" spans="1:8" x14ac:dyDescent="0.3">
      <c r="A1399" t="s">
        <v>80</v>
      </c>
      <c r="B1399">
        <v>1</v>
      </c>
      <c r="C1399" t="s">
        <v>81</v>
      </c>
      <c r="D1399">
        <v>4.7</v>
      </c>
      <c r="E1399">
        <v>2010</v>
      </c>
      <c r="G1399" t="s">
        <v>9</v>
      </c>
      <c r="H1399" t="s">
        <v>67</v>
      </c>
    </row>
    <row r="1400" spans="1:8" x14ac:dyDescent="0.3">
      <c r="A1400" t="s">
        <v>80</v>
      </c>
      <c r="B1400">
        <v>1</v>
      </c>
      <c r="C1400" t="s">
        <v>81</v>
      </c>
      <c r="D1400">
        <v>5.0999999999999996</v>
      </c>
      <c r="E1400">
        <v>2011</v>
      </c>
      <c r="G1400" t="s">
        <v>9</v>
      </c>
      <c r="H1400" t="s">
        <v>67</v>
      </c>
    </row>
    <row r="1401" spans="1:8" x14ac:dyDescent="0.3">
      <c r="A1401" t="s">
        <v>80</v>
      </c>
      <c r="B1401">
        <v>1</v>
      </c>
      <c r="C1401" t="s">
        <v>81</v>
      </c>
      <c r="E1401">
        <v>2012</v>
      </c>
      <c r="G1401" t="s">
        <v>9</v>
      </c>
      <c r="H1401" t="s">
        <v>67</v>
      </c>
    </row>
    <row r="1402" spans="1:8" x14ac:dyDescent="0.3">
      <c r="A1402" t="s">
        <v>80</v>
      </c>
      <c r="B1402">
        <v>1</v>
      </c>
      <c r="C1402" t="s">
        <v>81</v>
      </c>
      <c r="E1402">
        <v>2013</v>
      </c>
      <c r="G1402" t="s">
        <v>9</v>
      </c>
      <c r="H1402" t="s">
        <v>67</v>
      </c>
    </row>
    <row r="1403" spans="1:8" x14ac:dyDescent="0.3">
      <c r="A1403" t="s">
        <v>80</v>
      </c>
      <c r="B1403">
        <v>1</v>
      </c>
      <c r="C1403" t="s">
        <v>81</v>
      </c>
      <c r="D1403">
        <v>1.5</v>
      </c>
      <c r="E1403">
        <v>2014</v>
      </c>
      <c r="G1403" t="s">
        <v>9</v>
      </c>
      <c r="H1403" t="s">
        <v>67</v>
      </c>
    </row>
    <row r="1404" spans="1:8" x14ac:dyDescent="0.3">
      <c r="A1404" t="s">
        <v>80</v>
      </c>
      <c r="B1404">
        <v>1</v>
      </c>
      <c r="C1404" t="s">
        <v>81</v>
      </c>
      <c r="E1404">
        <v>2015</v>
      </c>
      <c r="G1404" t="s">
        <v>9</v>
      </c>
      <c r="H1404" t="s">
        <v>67</v>
      </c>
    </row>
    <row r="1405" spans="1:8" x14ac:dyDescent="0.3">
      <c r="A1405" t="s">
        <v>80</v>
      </c>
      <c r="B1405">
        <v>1</v>
      </c>
      <c r="C1405" t="s">
        <v>81</v>
      </c>
      <c r="E1405">
        <v>2016</v>
      </c>
      <c r="G1405" t="s">
        <v>9</v>
      </c>
      <c r="H1405" t="s">
        <v>67</v>
      </c>
    </row>
    <row r="1406" spans="1:8" x14ac:dyDescent="0.3">
      <c r="A1406" t="s">
        <v>80</v>
      </c>
      <c r="B1406">
        <v>1</v>
      </c>
      <c r="C1406" t="s">
        <v>81</v>
      </c>
      <c r="E1406">
        <v>2017</v>
      </c>
      <c r="G1406" t="s">
        <v>9</v>
      </c>
      <c r="H1406" t="s">
        <v>67</v>
      </c>
    </row>
    <row r="1407" spans="1:8" x14ac:dyDescent="0.3">
      <c r="A1407" t="s">
        <v>80</v>
      </c>
      <c r="B1407">
        <v>1</v>
      </c>
      <c r="C1407" t="s">
        <v>81</v>
      </c>
      <c r="D1407">
        <v>2.1</v>
      </c>
      <c r="E1407">
        <v>2018</v>
      </c>
      <c r="G1407" t="s">
        <v>9</v>
      </c>
      <c r="H1407" t="s">
        <v>67</v>
      </c>
    </row>
    <row r="1408" spans="1:8" x14ac:dyDescent="0.3">
      <c r="A1408" t="s">
        <v>80</v>
      </c>
      <c r="B1408">
        <v>1</v>
      </c>
      <c r="C1408" t="s">
        <v>81</v>
      </c>
      <c r="E1408">
        <v>2019</v>
      </c>
      <c r="G1408" t="s">
        <v>9</v>
      </c>
      <c r="H1408" t="s">
        <v>67</v>
      </c>
    </row>
    <row r="1409" spans="1:8" x14ac:dyDescent="0.3">
      <c r="A1409" t="s">
        <v>80</v>
      </c>
      <c r="B1409">
        <v>1</v>
      </c>
      <c r="C1409" t="s">
        <v>81</v>
      </c>
      <c r="D1409">
        <v>0.04</v>
      </c>
      <c r="E1409">
        <v>2020</v>
      </c>
      <c r="G1409" t="s">
        <v>9</v>
      </c>
      <c r="H1409" t="s">
        <v>67</v>
      </c>
    </row>
    <row r="1410" spans="1:8" x14ac:dyDescent="0.3">
      <c r="A1410" t="s">
        <v>82</v>
      </c>
      <c r="B1410">
        <v>1</v>
      </c>
      <c r="C1410" t="s">
        <v>83</v>
      </c>
      <c r="D1410">
        <v>22.9</v>
      </c>
      <c r="E1410">
        <v>1987</v>
      </c>
      <c r="G1410" t="s">
        <v>9</v>
      </c>
      <c r="H1410" t="s">
        <v>67</v>
      </c>
    </row>
    <row r="1411" spans="1:8" x14ac:dyDescent="0.3">
      <c r="A1411" t="s">
        <v>82</v>
      </c>
      <c r="B1411">
        <v>1</v>
      </c>
      <c r="C1411" t="s">
        <v>83</v>
      </c>
      <c r="E1411">
        <v>1988</v>
      </c>
      <c r="G1411" t="s">
        <v>9</v>
      </c>
      <c r="H1411" t="s">
        <v>67</v>
      </c>
    </row>
    <row r="1412" spans="1:8" x14ac:dyDescent="0.3">
      <c r="A1412" t="s">
        <v>82</v>
      </c>
      <c r="B1412">
        <v>1</v>
      </c>
      <c r="C1412" t="s">
        <v>83</v>
      </c>
      <c r="E1412">
        <v>1989</v>
      </c>
      <c r="G1412" t="s">
        <v>9</v>
      </c>
      <c r="H1412" t="s">
        <v>67</v>
      </c>
    </row>
    <row r="1413" spans="1:8" x14ac:dyDescent="0.3">
      <c r="A1413" t="s">
        <v>82</v>
      </c>
      <c r="B1413">
        <v>1</v>
      </c>
      <c r="C1413" t="s">
        <v>83</v>
      </c>
      <c r="E1413">
        <v>1990</v>
      </c>
      <c r="G1413" t="s">
        <v>9</v>
      </c>
      <c r="H1413" t="s">
        <v>67</v>
      </c>
    </row>
    <row r="1414" spans="1:8" x14ac:dyDescent="0.3">
      <c r="A1414" t="s">
        <v>82</v>
      </c>
      <c r="B1414">
        <v>1</v>
      </c>
      <c r="C1414" t="s">
        <v>83</v>
      </c>
      <c r="E1414">
        <v>1991</v>
      </c>
      <c r="G1414" t="s">
        <v>9</v>
      </c>
      <c r="H1414" t="s">
        <v>67</v>
      </c>
    </row>
    <row r="1415" spans="1:8" x14ac:dyDescent="0.3">
      <c r="A1415" t="s">
        <v>82</v>
      </c>
      <c r="B1415">
        <v>1</v>
      </c>
      <c r="C1415" t="s">
        <v>83</v>
      </c>
      <c r="E1415">
        <v>1992</v>
      </c>
      <c r="G1415" t="s">
        <v>9</v>
      </c>
      <c r="H1415" t="s">
        <v>67</v>
      </c>
    </row>
    <row r="1416" spans="1:8" x14ac:dyDescent="0.3">
      <c r="A1416" t="s">
        <v>82</v>
      </c>
      <c r="B1416">
        <v>1</v>
      </c>
      <c r="C1416" t="s">
        <v>83</v>
      </c>
      <c r="E1416">
        <v>1993</v>
      </c>
      <c r="G1416" t="s">
        <v>9</v>
      </c>
      <c r="H1416" t="s">
        <v>67</v>
      </c>
    </row>
    <row r="1417" spans="1:8" x14ac:dyDescent="0.3">
      <c r="A1417" t="s">
        <v>82</v>
      </c>
      <c r="B1417">
        <v>1</v>
      </c>
      <c r="C1417" t="s">
        <v>83</v>
      </c>
      <c r="E1417">
        <v>1994</v>
      </c>
      <c r="G1417" t="s">
        <v>9</v>
      </c>
      <c r="H1417" t="s">
        <v>67</v>
      </c>
    </row>
    <row r="1418" spans="1:8" x14ac:dyDescent="0.3">
      <c r="A1418" t="s">
        <v>82</v>
      </c>
      <c r="B1418">
        <v>1</v>
      </c>
      <c r="C1418" t="s">
        <v>83</v>
      </c>
      <c r="E1418">
        <v>1995</v>
      </c>
      <c r="G1418" t="s">
        <v>9</v>
      </c>
      <c r="H1418" t="s">
        <v>67</v>
      </c>
    </row>
    <row r="1419" spans="1:8" x14ac:dyDescent="0.3">
      <c r="A1419" t="s">
        <v>82</v>
      </c>
      <c r="B1419">
        <v>1</v>
      </c>
      <c r="C1419" t="s">
        <v>83</v>
      </c>
      <c r="E1419">
        <v>1996</v>
      </c>
      <c r="G1419" t="s">
        <v>9</v>
      </c>
      <c r="H1419" t="s">
        <v>67</v>
      </c>
    </row>
    <row r="1420" spans="1:8" x14ac:dyDescent="0.3">
      <c r="A1420" t="s">
        <v>82</v>
      </c>
      <c r="B1420">
        <v>1</v>
      </c>
      <c r="C1420" t="s">
        <v>83</v>
      </c>
      <c r="E1420">
        <v>1997</v>
      </c>
      <c r="G1420" t="s">
        <v>9</v>
      </c>
      <c r="H1420" t="s">
        <v>67</v>
      </c>
    </row>
    <row r="1421" spans="1:8" x14ac:dyDescent="0.3">
      <c r="A1421" t="s">
        <v>82</v>
      </c>
      <c r="B1421">
        <v>1</v>
      </c>
      <c r="C1421" t="s">
        <v>83</v>
      </c>
      <c r="E1421">
        <v>1998</v>
      </c>
      <c r="G1421" t="s">
        <v>9</v>
      </c>
      <c r="H1421" t="s">
        <v>67</v>
      </c>
    </row>
    <row r="1422" spans="1:8" x14ac:dyDescent="0.3">
      <c r="A1422" t="s">
        <v>82</v>
      </c>
      <c r="B1422">
        <v>1</v>
      </c>
      <c r="C1422" t="s">
        <v>83</v>
      </c>
      <c r="E1422">
        <v>1999</v>
      </c>
      <c r="G1422" t="s">
        <v>9</v>
      </c>
      <c r="H1422" t="s">
        <v>67</v>
      </c>
    </row>
    <row r="1423" spans="1:8" x14ac:dyDescent="0.3">
      <c r="A1423" t="s">
        <v>82</v>
      </c>
      <c r="B1423">
        <v>1</v>
      </c>
      <c r="C1423" t="s">
        <v>83</v>
      </c>
      <c r="E1423">
        <v>2000</v>
      </c>
      <c r="G1423" t="s">
        <v>9</v>
      </c>
      <c r="H1423" t="s">
        <v>67</v>
      </c>
    </row>
    <row r="1424" spans="1:8" x14ac:dyDescent="0.3">
      <c r="A1424" t="s">
        <v>82</v>
      </c>
      <c r="B1424">
        <v>1</v>
      </c>
      <c r="C1424" t="s">
        <v>83</v>
      </c>
      <c r="E1424">
        <v>2001</v>
      </c>
      <c r="G1424" t="s">
        <v>9</v>
      </c>
      <c r="H1424" t="s">
        <v>67</v>
      </c>
    </row>
    <row r="1425" spans="1:8" x14ac:dyDescent="0.3">
      <c r="A1425" t="s">
        <v>82</v>
      </c>
      <c r="B1425">
        <v>1</v>
      </c>
      <c r="C1425" t="s">
        <v>83</v>
      </c>
      <c r="D1425">
        <v>16.100000000000001</v>
      </c>
      <c r="E1425">
        <v>2002</v>
      </c>
      <c r="G1425" t="s">
        <v>9</v>
      </c>
      <c r="H1425" t="s">
        <v>67</v>
      </c>
    </row>
    <row r="1426" spans="1:8" x14ac:dyDescent="0.3">
      <c r="A1426" t="s">
        <v>82</v>
      </c>
      <c r="B1426">
        <v>1</v>
      </c>
      <c r="C1426" t="s">
        <v>83</v>
      </c>
      <c r="D1426">
        <v>16.559999999999999</v>
      </c>
      <c r="E1426">
        <v>2003</v>
      </c>
      <c r="G1426" t="s">
        <v>9</v>
      </c>
      <c r="H1426" t="s">
        <v>67</v>
      </c>
    </row>
    <row r="1427" spans="1:8" x14ac:dyDescent="0.3">
      <c r="A1427" t="s">
        <v>82</v>
      </c>
      <c r="B1427">
        <v>1</v>
      </c>
      <c r="C1427" t="s">
        <v>83</v>
      </c>
      <c r="E1427">
        <v>2004</v>
      </c>
      <c r="G1427" t="s">
        <v>9</v>
      </c>
      <c r="H1427" t="s">
        <v>67</v>
      </c>
    </row>
    <row r="1428" spans="1:8" x14ac:dyDescent="0.3">
      <c r="A1428" t="s">
        <v>82</v>
      </c>
      <c r="B1428">
        <v>1</v>
      </c>
      <c r="C1428" t="s">
        <v>83</v>
      </c>
      <c r="D1428">
        <v>25.46</v>
      </c>
      <c r="E1428">
        <v>2005</v>
      </c>
      <c r="G1428" t="s">
        <v>9</v>
      </c>
      <c r="H1428" t="s">
        <v>67</v>
      </c>
    </row>
    <row r="1429" spans="1:8" x14ac:dyDescent="0.3">
      <c r="A1429" t="s">
        <v>82</v>
      </c>
      <c r="B1429">
        <v>1</v>
      </c>
      <c r="C1429" t="s">
        <v>83</v>
      </c>
      <c r="E1429">
        <v>2006</v>
      </c>
      <c r="G1429" t="s">
        <v>9</v>
      </c>
      <c r="H1429" t="s">
        <v>67</v>
      </c>
    </row>
    <row r="1430" spans="1:8" x14ac:dyDescent="0.3">
      <c r="A1430" t="s">
        <v>82</v>
      </c>
      <c r="B1430">
        <v>1</v>
      </c>
      <c r="C1430" t="s">
        <v>83</v>
      </c>
      <c r="D1430">
        <v>11.3</v>
      </c>
      <c r="E1430">
        <v>2007</v>
      </c>
      <c r="G1430" t="s">
        <v>9</v>
      </c>
      <c r="H1430" t="s">
        <v>67</v>
      </c>
    </row>
    <row r="1431" spans="1:8" x14ac:dyDescent="0.3">
      <c r="A1431" t="s">
        <v>82</v>
      </c>
      <c r="B1431">
        <v>1</v>
      </c>
      <c r="C1431" t="s">
        <v>83</v>
      </c>
      <c r="E1431">
        <v>2008</v>
      </c>
      <c r="G1431" t="s">
        <v>9</v>
      </c>
      <c r="H1431" t="s">
        <v>67</v>
      </c>
    </row>
    <row r="1432" spans="1:8" x14ac:dyDescent="0.3">
      <c r="A1432" t="s">
        <v>82</v>
      </c>
      <c r="B1432">
        <v>1</v>
      </c>
      <c r="C1432" t="s">
        <v>83</v>
      </c>
      <c r="D1432">
        <v>10.199999999999999</v>
      </c>
      <c r="E1432">
        <v>2009</v>
      </c>
      <c r="G1432" t="s">
        <v>9</v>
      </c>
      <c r="H1432" t="s">
        <v>67</v>
      </c>
    </row>
    <row r="1433" spans="1:8" x14ac:dyDescent="0.3">
      <c r="A1433" t="s">
        <v>82</v>
      </c>
      <c r="B1433">
        <v>1</v>
      </c>
      <c r="C1433" t="s">
        <v>83</v>
      </c>
      <c r="D1433">
        <v>11.88</v>
      </c>
      <c r="E1433">
        <v>2010</v>
      </c>
      <c r="G1433" t="s">
        <v>9</v>
      </c>
      <c r="H1433" t="s">
        <v>67</v>
      </c>
    </row>
    <row r="1434" spans="1:8" x14ac:dyDescent="0.3">
      <c r="A1434" t="s">
        <v>82</v>
      </c>
      <c r="B1434">
        <v>1</v>
      </c>
      <c r="C1434" t="s">
        <v>83</v>
      </c>
      <c r="D1434">
        <v>17.170000000000002</v>
      </c>
      <c r="E1434">
        <v>2011</v>
      </c>
      <c r="G1434" t="s">
        <v>9</v>
      </c>
      <c r="H1434" t="s">
        <v>67</v>
      </c>
    </row>
    <row r="1435" spans="1:8" x14ac:dyDescent="0.3">
      <c r="A1435" t="s">
        <v>82</v>
      </c>
      <c r="B1435">
        <v>1</v>
      </c>
      <c r="C1435" t="s">
        <v>83</v>
      </c>
      <c r="E1435">
        <v>2012</v>
      </c>
      <c r="G1435" t="s">
        <v>9</v>
      </c>
      <c r="H1435" t="s">
        <v>67</v>
      </c>
    </row>
    <row r="1436" spans="1:8" x14ac:dyDescent="0.3">
      <c r="A1436" t="s">
        <v>82</v>
      </c>
      <c r="B1436">
        <v>1</v>
      </c>
      <c r="C1436" t="s">
        <v>83</v>
      </c>
      <c r="E1436">
        <v>2013</v>
      </c>
      <c r="G1436" t="s">
        <v>9</v>
      </c>
      <c r="H1436" t="s">
        <v>67</v>
      </c>
    </row>
    <row r="1437" spans="1:8" x14ac:dyDescent="0.3">
      <c r="A1437" t="s">
        <v>82</v>
      </c>
      <c r="B1437">
        <v>1</v>
      </c>
      <c r="C1437" t="s">
        <v>83</v>
      </c>
      <c r="E1437">
        <v>2014</v>
      </c>
      <c r="G1437" t="s">
        <v>9</v>
      </c>
      <c r="H1437" t="s">
        <v>67</v>
      </c>
    </row>
    <row r="1438" spans="1:8" x14ac:dyDescent="0.3">
      <c r="A1438" t="s">
        <v>82</v>
      </c>
      <c r="B1438">
        <v>1</v>
      </c>
      <c r="C1438" t="s">
        <v>83</v>
      </c>
      <c r="E1438">
        <v>2015</v>
      </c>
      <c r="G1438" t="s">
        <v>9</v>
      </c>
      <c r="H1438" t="s">
        <v>67</v>
      </c>
    </row>
    <row r="1439" spans="1:8" x14ac:dyDescent="0.3">
      <c r="A1439" t="s">
        <v>82</v>
      </c>
      <c r="B1439">
        <v>1</v>
      </c>
      <c r="C1439" t="s">
        <v>83</v>
      </c>
      <c r="E1439">
        <v>2016</v>
      </c>
      <c r="G1439" t="s">
        <v>9</v>
      </c>
      <c r="H1439" t="s">
        <v>67</v>
      </c>
    </row>
    <row r="1440" spans="1:8" x14ac:dyDescent="0.3">
      <c r="A1440" t="s">
        <v>82</v>
      </c>
      <c r="B1440">
        <v>1</v>
      </c>
      <c r="C1440" t="s">
        <v>83</v>
      </c>
      <c r="E1440">
        <v>2017</v>
      </c>
      <c r="G1440" t="s">
        <v>9</v>
      </c>
      <c r="H1440" t="s">
        <v>67</v>
      </c>
    </row>
    <row r="1441" spans="1:8" x14ac:dyDescent="0.3">
      <c r="A1441" t="s">
        <v>82</v>
      </c>
      <c r="B1441">
        <v>1</v>
      </c>
      <c r="C1441" t="s">
        <v>83</v>
      </c>
      <c r="E1441">
        <v>2018</v>
      </c>
      <c r="G1441" t="s">
        <v>9</v>
      </c>
      <c r="H1441" t="s">
        <v>67</v>
      </c>
    </row>
    <row r="1442" spans="1:8" x14ac:dyDescent="0.3">
      <c r="A1442" t="s">
        <v>82</v>
      </c>
      <c r="B1442">
        <v>1</v>
      </c>
      <c r="C1442" t="s">
        <v>83</v>
      </c>
      <c r="E1442">
        <v>2019</v>
      </c>
      <c r="G1442" t="s">
        <v>9</v>
      </c>
      <c r="H1442" t="s">
        <v>67</v>
      </c>
    </row>
    <row r="1443" spans="1:8" x14ac:dyDescent="0.3">
      <c r="A1443" t="s">
        <v>82</v>
      </c>
      <c r="B1443">
        <v>1</v>
      </c>
      <c r="C1443" t="s">
        <v>83</v>
      </c>
      <c r="D1443">
        <v>6.29</v>
      </c>
      <c r="E1443">
        <v>2020</v>
      </c>
      <c r="G1443" t="s">
        <v>9</v>
      </c>
      <c r="H1443" t="s">
        <v>67</v>
      </c>
    </row>
    <row r="1444" spans="1:8" x14ac:dyDescent="0.3">
      <c r="A1444" t="s">
        <v>91</v>
      </c>
      <c r="B1444">
        <v>1</v>
      </c>
      <c r="C1444" t="s">
        <v>92</v>
      </c>
      <c r="D1444">
        <v>0.1</v>
      </c>
      <c r="E1444">
        <v>1975</v>
      </c>
      <c r="G1444" t="s">
        <v>9</v>
      </c>
      <c r="H1444" t="s">
        <v>67</v>
      </c>
    </row>
    <row r="1445" spans="1:8" x14ac:dyDescent="0.3">
      <c r="A1445" t="s">
        <v>91</v>
      </c>
      <c r="B1445">
        <v>1</v>
      </c>
      <c r="C1445" t="s">
        <v>92</v>
      </c>
      <c r="E1445">
        <v>1976</v>
      </c>
      <c r="G1445" t="s">
        <v>9</v>
      </c>
      <c r="H1445" t="s">
        <v>67</v>
      </c>
    </row>
    <row r="1446" spans="1:8" x14ac:dyDescent="0.3">
      <c r="A1446" t="s">
        <v>91</v>
      </c>
      <c r="B1446">
        <v>1</v>
      </c>
      <c r="C1446" t="s">
        <v>92</v>
      </c>
      <c r="E1446">
        <v>1977</v>
      </c>
      <c r="G1446" t="s">
        <v>9</v>
      </c>
      <c r="H1446" t="s">
        <v>67</v>
      </c>
    </row>
    <row r="1447" spans="1:8" x14ac:dyDescent="0.3">
      <c r="A1447" t="s">
        <v>91</v>
      </c>
      <c r="B1447">
        <v>1</v>
      </c>
      <c r="C1447" t="s">
        <v>92</v>
      </c>
      <c r="E1447">
        <v>1978</v>
      </c>
      <c r="G1447" t="s">
        <v>9</v>
      </c>
      <c r="H1447" t="s">
        <v>67</v>
      </c>
    </row>
    <row r="1448" spans="1:8" x14ac:dyDescent="0.3">
      <c r="A1448" t="s">
        <v>91</v>
      </c>
      <c r="B1448">
        <v>1</v>
      </c>
      <c r="C1448" t="s">
        <v>92</v>
      </c>
      <c r="E1448">
        <v>1979</v>
      </c>
      <c r="G1448" t="s">
        <v>9</v>
      </c>
      <c r="H1448" t="s">
        <v>67</v>
      </c>
    </row>
    <row r="1449" spans="1:8" x14ac:dyDescent="0.3">
      <c r="A1449" t="s">
        <v>91</v>
      </c>
      <c r="B1449">
        <v>1</v>
      </c>
      <c r="C1449" t="s">
        <v>92</v>
      </c>
      <c r="D1449">
        <v>0.5</v>
      </c>
      <c r="E1449">
        <v>1980</v>
      </c>
      <c r="G1449" t="s">
        <v>9</v>
      </c>
      <c r="H1449" t="s">
        <v>67</v>
      </c>
    </row>
    <row r="1450" spans="1:8" x14ac:dyDescent="0.3">
      <c r="A1450" t="s">
        <v>91</v>
      </c>
      <c r="B1450">
        <v>1</v>
      </c>
      <c r="C1450" t="s">
        <v>92</v>
      </c>
      <c r="E1450">
        <v>1981</v>
      </c>
      <c r="G1450" t="s">
        <v>9</v>
      </c>
      <c r="H1450" t="s">
        <v>67</v>
      </c>
    </row>
    <row r="1451" spans="1:8" x14ac:dyDescent="0.3">
      <c r="A1451" t="s">
        <v>91</v>
      </c>
      <c r="B1451">
        <v>1</v>
      </c>
      <c r="C1451" t="s">
        <v>92</v>
      </c>
      <c r="E1451">
        <v>1982</v>
      </c>
      <c r="G1451" t="s">
        <v>9</v>
      </c>
      <c r="H1451" t="s">
        <v>67</v>
      </c>
    </row>
    <row r="1452" spans="1:8" x14ac:dyDescent="0.3">
      <c r="A1452" t="s">
        <v>91</v>
      </c>
      <c r="B1452">
        <v>1</v>
      </c>
      <c r="C1452" t="s">
        <v>92</v>
      </c>
      <c r="E1452">
        <v>1983</v>
      </c>
      <c r="G1452" t="s">
        <v>9</v>
      </c>
      <c r="H1452" t="s">
        <v>67</v>
      </c>
    </row>
    <row r="1453" spans="1:8" x14ac:dyDescent="0.3">
      <c r="A1453" t="s">
        <v>91</v>
      </c>
      <c r="B1453">
        <v>1</v>
      </c>
      <c r="C1453" t="s">
        <v>92</v>
      </c>
      <c r="E1453">
        <v>1984</v>
      </c>
      <c r="G1453" t="s">
        <v>9</v>
      </c>
      <c r="H1453" t="s">
        <v>67</v>
      </c>
    </row>
    <row r="1454" spans="1:8" x14ac:dyDescent="0.3">
      <c r="A1454" t="s">
        <v>91</v>
      </c>
      <c r="B1454">
        <v>1</v>
      </c>
      <c r="C1454" t="s">
        <v>92</v>
      </c>
      <c r="E1454">
        <v>1985</v>
      </c>
      <c r="G1454" t="s">
        <v>9</v>
      </c>
      <c r="H1454" t="s">
        <v>67</v>
      </c>
    </row>
    <row r="1455" spans="1:8" x14ac:dyDescent="0.3">
      <c r="A1455" t="s">
        <v>91</v>
      </c>
      <c r="B1455">
        <v>1</v>
      </c>
      <c r="C1455" t="s">
        <v>92</v>
      </c>
      <c r="E1455">
        <v>1986</v>
      </c>
      <c r="G1455" t="s">
        <v>9</v>
      </c>
      <c r="H1455" t="s">
        <v>67</v>
      </c>
    </row>
    <row r="1456" spans="1:8" x14ac:dyDescent="0.3">
      <c r="A1456" t="s">
        <v>91</v>
      </c>
      <c r="B1456">
        <v>1</v>
      </c>
      <c r="C1456" t="s">
        <v>92</v>
      </c>
      <c r="E1456">
        <v>1987</v>
      </c>
      <c r="G1456" t="s">
        <v>9</v>
      </c>
      <c r="H1456" t="s">
        <v>67</v>
      </c>
    </row>
    <row r="1457" spans="1:8" x14ac:dyDescent="0.3">
      <c r="A1457" t="s">
        <v>91</v>
      </c>
      <c r="B1457">
        <v>1</v>
      </c>
      <c r="C1457" t="s">
        <v>92</v>
      </c>
      <c r="E1457">
        <v>1988</v>
      </c>
      <c r="G1457" t="s">
        <v>9</v>
      </c>
      <c r="H1457" t="s">
        <v>67</v>
      </c>
    </row>
    <row r="1458" spans="1:8" x14ac:dyDescent="0.3">
      <c r="A1458" t="s">
        <v>91</v>
      </c>
      <c r="B1458">
        <v>1</v>
      </c>
      <c r="C1458" t="s">
        <v>92</v>
      </c>
      <c r="E1458">
        <v>1989</v>
      </c>
      <c r="G1458" t="s">
        <v>9</v>
      </c>
      <c r="H1458" t="s">
        <v>67</v>
      </c>
    </row>
    <row r="1459" spans="1:8" x14ac:dyDescent="0.3">
      <c r="A1459" t="s">
        <v>91</v>
      </c>
      <c r="B1459">
        <v>1</v>
      </c>
      <c r="C1459" t="s">
        <v>92</v>
      </c>
      <c r="E1459">
        <v>1990</v>
      </c>
      <c r="G1459" t="s">
        <v>9</v>
      </c>
      <c r="H1459" t="s">
        <v>67</v>
      </c>
    </row>
    <row r="1460" spans="1:8" x14ac:dyDescent="0.3">
      <c r="A1460" t="s">
        <v>91</v>
      </c>
      <c r="B1460">
        <v>1</v>
      </c>
      <c r="C1460" t="s">
        <v>92</v>
      </c>
      <c r="E1460">
        <v>1991</v>
      </c>
      <c r="G1460" t="s">
        <v>9</v>
      </c>
      <c r="H1460" t="s">
        <v>67</v>
      </c>
    </row>
    <row r="1461" spans="1:8" x14ac:dyDescent="0.3">
      <c r="A1461" t="s">
        <v>91</v>
      </c>
      <c r="B1461">
        <v>1</v>
      </c>
      <c r="C1461" t="s">
        <v>92</v>
      </c>
      <c r="E1461">
        <v>1992</v>
      </c>
      <c r="G1461" t="s">
        <v>9</v>
      </c>
      <c r="H1461" t="s">
        <v>67</v>
      </c>
    </row>
    <row r="1462" spans="1:8" x14ac:dyDescent="0.3">
      <c r="A1462" t="s">
        <v>91</v>
      </c>
      <c r="B1462">
        <v>1</v>
      </c>
      <c r="C1462" t="s">
        <v>92</v>
      </c>
      <c r="E1462">
        <v>1993</v>
      </c>
      <c r="G1462" t="s">
        <v>9</v>
      </c>
      <c r="H1462" t="s">
        <v>67</v>
      </c>
    </row>
    <row r="1463" spans="1:8" x14ac:dyDescent="0.3">
      <c r="A1463" t="s">
        <v>91</v>
      </c>
      <c r="B1463">
        <v>1</v>
      </c>
      <c r="C1463" t="s">
        <v>92</v>
      </c>
      <c r="E1463">
        <v>1994</v>
      </c>
      <c r="G1463" t="s">
        <v>9</v>
      </c>
      <c r="H1463" t="s">
        <v>67</v>
      </c>
    </row>
    <row r="1464" spans="1:8" x14ac:dyDescent="0.3">
      <c r="A1464" t="s">
        <v>91</v>
      </c>
      <c r="B1464">
        <v>1</v>
      </c>
      <c r="C1464" t="s">
        <v>92</v>
      </c>
      <c r="D1464">
        <v>15.2</v>
      </c>
      <c r="E1464">
        <v>1995</v>
      </c>
      <c r="G1464" t="s">
        <v>9</v>
      </c>
      <c r="H1464" t="s">
        <v>67</v>
      </c>
    </row>
    <row r="1465" spans="1:8" x14ac:dyDescent="0.3">
      <c r="A1465" t="s">
        <v>91</v>
      </c>
      <c r="B1465">
        <v>1</v>
      </c>
      <c r="C1465" t="s">
        <v>92</v>
      </c>
      <c r="E1465">
        <v>1996</v>
      </c>
      <c r="G1465" t="s">
        <v>9</v>
      </c>
      <c r="H1465" t="s">
        <v>67</v>
      </c>
    </row>
    <row r="1466" spans="1:8" x14ac:dyDescent="0.3">
      <c r="A1466" t="s">
        <v>91</v>
      </c>
      <c r="B1466">
        <v>1</v>
      </c>
      <c r="C1466" t="s">
        <v>92</v>
      </c>
      <c r="E1466">
        <v>1997</v>
      </c>
      <c r="G1466" t="s">
        <v>9</v>
      </c>
      <c r="H1466" t="s">
        <v>67</v>
      </c>
    </row>
    <row r="1467" spans="1:8" x14ac:dyDescent="0.3">
      <c r="A1467" t="s">
        <v>91</v>
      </c>
      <c r="B1467">
        <v>1</v>
      </c>
      <c r="C1467" t="s">
        <v>92</v>
      </c>
      <c r="E1467">
        <v>1998</v>
      </c>
      <c r="G1467" t="s">
        <v>9</v>
      </c>
      <c r="H1467" t="s">
        <v>67</v>
      </c>
    </row>
    <row r="1468" spans="1:8" x14ac:dyDescent="0.3">
      <c r="A1468" t="s">
        <v>91</v>
      </c>
      <c r="B1468">
        <v>1</v>
      </c>
      <c r="C1468" t="s">
        <v>92</v>
      </c>
      <c r="E1468">
        <v>1999</v>
      </c>
      <c r="G1468" t="s">
        <v>9</v>
      </c>
      <c r="H1468" t="s">
        <v>67</v>
      </c>
    </row>
    <row r="1469" spans="1:8" x14ac:dyDescent="0.3">
      <c r="A1469" t="s">
        <v>91</v>
      </c>
      <c r="B1469">
        <v>1</v>
      </c>
      <c r="C1469" t="s">
        <v>92</v>
      </c>
      <c r="E1469">
        <v>2000</v>
      </c>
      <c r="G1469" t="s">
        <v>9</v>
      </c>
      <c r="H1469" t="s">
        <v>67</v>
      </c>
    </row>
    <row r="1470" spans="1:8" x14ac:dyDescent="0.3">
      <c r="A1470" t="s">
        <v>91</v>
      </c>
      <c r="B1470">
        <v>1</v>
      </c>
      <c r="C1470" t="s">
        <v>92</v>
      </c>
      <c r="D1470">
        <v>31.2</v>
      </c>
      <c r="E1470">
        <v>2001</v>
      </c>
      <c r="G1470" t="s">
        <v>9</v>
      </c>
      <c r="H1470" t="s">
        <v>67</v>
      </c>
    </row>
    <row r="1471" spans="1:8" x14ac:dyDescent="0.3">
      <c r="A1471" t="s">
        <v>91</v>
      </c>
      <c r="B1471">
        <v>1</v>
      </c>
      <c r="C1471" t="s">
        <v>92</v>
      </c>
      <c r="D1471">
        <v>20.7</v>
      </c>
      <c r="E1471">
        <v>2002</v>
      </c>
      <c r="G1471" t="s">
        <v>9</v>
      </c>
      <c r="H1471" t="s">
        <v>67</v>
      </c>
    </row>
    <row r="1472" spans="1:8" x14ac:dyDescent="0.3">
      <c r="A1472" t="s">
        <v>91</v>
      </c>
      <c r="B1472">
        <v>1</v>
      </c>
      <c r="C1472" t="s">
        <v>92</v>
      </c>
      <c r="D1472">
        <v>17.899999999999999</v>
      </c>
      <c r="E1472">
        <v>2003</v>
      </c>
      <c r="G1472" t="s">
        <v>9</v>
      </c>
      <c r="H1472" t="s">
        <v>67</v>
      </c>
    </row>
    <row r="1473" spans="1:8" x14ac:dyDescent="0.3">
      <c r="A1473" t="s">
        <v>91</v>
      </c>
      <c r="B1473">
        <v>1</v>
      </c>
      <c r="C1473" t="s">
        <v>92</v>
      </c>
      <c r="D1473">
        <v>18.399999999999999</v>
      </c>
      <c r="E1473">
        <v>2004</v>
      </c>
      <c r="G1473" t="s">
        <v>9</v>
      </c>
      <c r="H1473" t="s">
        <v>67</v>
      </c>
    </row>
    <row r="1474" spans="1:8" x14ac:dyDescent="0.3">
      <c r="A1474" t="s">
        <v>91</v>
      </c>
      <c r="B1474">
        <v>1</v>
      </c>
      <c r="C1474" t="s">
        <v>92</v>
      </c>
      <c r="E1474">
        <v>2005</v>
      </c>
      <c r="G1474" t="s">
        <v>9</v>
      </c>
      <c r="H1474" t="s">
        <v>67</v>
      </c>
    </row>
    <row r="1475" spans="1:8" x14ac:dyDescent="0.3">
      <c r="A1475" t="s">
        <v>91</v>
      </c>
      <c r="B1475">
        <v>1</v>
      </c>
      <c r="C1475" t="s">
        <v>92</v>
      </c>
      <c r="D1475">
        <v>31.5</v>
      </c>
      <c r="E1475">
        <v>2006</v>
      </c>
      <c r="G1475" t="s">
        <v>9</v>
      </c>
      <c r="H1475" t="s">
        <v>67</v>
      </c>
    </row>
    <row r="1476" spans="1:8" x14ac:dyDescent="0.3">
      <c r="A1476" t="s">
        <v>91</v>
      </c>
      <c r="B1476">
        <v>1</v>
      </c>
      <c r="C1476" t="s">
        <v>92</v>
      </c>
      <c r="D1476">
        <v>20.100000000000001</v>
      </c>
      <c r="E1476">
        <v>2007</v>
      </c>
      <c r="G1476" t="s">
        <v>9</v>
      </c>
      <c r="H1476" t="s">
        <v>67</v>
      </c>
    </row>
    <row r="1477" spans="1:8" x14ac:dyDescent="0.3">
      <c r="A1477" t="s">
        <v>91</v>
      </c>
      <c r="B1477">
        <v>1</v>
      </c>
      <c r="C1477" t="s">
        <v>92</v>
      </c>
      <c r="D1477">
        <v>24.2</v>
      </c>
      <c r="E1477">
        <v>2008</v>
      </c>
      <c r="G1477" t="s">
        <v>9</v>
      </c>
      <c r="H1477" t="s">
        <v>67</v>
      </c>
    </row>
    <row r="1478" spans="1:8" x14ac:dyDescent="0.3">
      <c r="A1478" t="s">
        <v>91</v>
      </c>
      <c r="B1478">
        <v>1</v>
      </c>
      <c r="C1478" t="s">
        <v>92</v>
      </c>
      <c r="D1478">
        <v>12.8</v>
      </c>
      <c r="E1478">
        <v>2009</v>
      </c>
      <c r="G1478" t="s">
        <v>9</v>
      </c>
      <c r="H1478" t="s">
        <v>67</v>
      </c>
    </row>
    <row r="1479" spans="1:8" x14ac:dyDescent="0.3">
      <c r="A1479" t="s">
        <v>91</v>
      </c>
      <c r="B1479">
        <v>1</v>
      </c>
      <c r="C1479" t="s">
        <v>92</v>
      </c>
      <c r="D1479">
        <v>16.399999999999999</v>
      </c>
      <c r="E1479">
        <v>2010</v>
      </c>
      <c r="G1479" t="s">
        <v>9</v>
      </c>
      <c r="H1479" t="s">
        <v>67</v>
      </c>
    </row>
    <row r="1480" spans="1:8" x14ac:dyDescent="0.3">
      <c r="A1480" t="s">
        <v>91</v>
      </c>
      <c r="B1480">
        <v>1</v>
      </c>
      <c r="C1480" t="s">
        <v>92</v>
      </c>
      <c r="E1480">
        <v>2011</v>
      </c>
      <c r="G1480" t="s">
        <v>9</v>
      </c>
      <c r="H1480" t="s">
        <v>67</v>
      </c>
    </row>
    <row r="1481" spans="1:8" x14ac:dyDescent="0.3">
      <c r="A1481" t="s">
        <v>91</v>
      </c>
      <c r="B1481">
        <v>1</v>
      </c>
      <c r="C1481" t="s">
        <v>92</v>
      </c>
      <c r="E1481">
        <v>2012</v>
      </c>
      <c r="G1481" t="s">
        <v>9</v>
      </c>
      <c r="H1481" t="s">
        <v>67</v>
      </c>
    </row>
    <row r="1482" spans="1:8" x14ac:dyDescent="0.3">
      <c r="A1482" t="s">
        <v>91</v>
      </c>
      <c r="B1482">
        <v>1</v>
      </c>
      <c r="C1482" t="s">
        <v>92</v>
      </c>
      <c r="E1482">
        <v>2013</v>
      </c>
      <c r="G1482" t="s">
        <v>9</v>
      </c>
      <c r="H1482" t="s">
        <v>67</v>
      </c>
    </row>
    <row r="1483" spans="1:8" x14ac:dyDescent="0.3">
      <c r="A1483" t="s">
        <v>91</v>
      </c>
      <c r="B1483">
        <v>1</v>
      </c>
      <c r="C1483" t="s">
        <v>92</v>
      </c>
      <c r="D1483">
        <v>10.8</v>
      </c>
      <c r="E1483">
        <v>2014</v>
      </c>
      <c r="G1483" t="s">
        <v>9</v>
      </c>
      <c r="H1483" t="s">
        <v>67</v>
      </c>
    </row>
    <row r="1484" spans="1:8" x14ac:dyDescent="0.3">
      <c r="A1484" t="s">
        <v>91</v>
      </c>
      <c r="B1484">
        <v>1</v>
      </c>
      <c r="C1484" t="s">
        <v>92</v>
      </c>
      <c r="E1484">
        <v>2015</v>
      </c>
      <c r="G1484" t="s">
        <v>9</v>
      </c>
      <c r="H1484" t="s">
        <v>67</v>
      </c>
    </row>
    <row r="1485" spans="1:8" x14ac:dyDescent="0.3">
      <c r="A1485" t="s">
        <v>91</v>
      </c>
      <c r="B1485">
        <v>1</v>
      </c>
      <c r="C1485" t="s">
        <v>92</v>
      </c>
      <c r="E1485">
        <v>2016</v>
      </c>
      <c r="G1485" t="s">
        <v>9</v>
      </c>
      <c r="H1485" t="s">
        <v>67</v>
      </c>
    </row>
    <row r="1486" spans="1:8" x14ac:dyDescent="0.3">
      <c r="A1486" t="s">
        <v>91</v>
      </c>
      <c r="B1486">
        <v>1</v>
      </c>
      <c r="C1486" t="s">
        <v>92</v>
      </c>
      <c r="D1486">
        <v>8.5</v>
      </c>
      <c r="E1486">
        <v>2017</v>
      </c>
      <c r="G1486" t="s">
        <v>9</v>
      </c>
      <c r="H1486" t="s">
        <v>67</v>
      </c>
    </row>
    <row r="1487" spans="1:8" x14ac:dyDescent="0.3">
      <c r="A1487" t="s">
        <v>94</v>
      </c>
      <c r="B1487">
        <v>1</v>
      </c>
      <c r="C1487" t="s">
        <v>93</v>
      </c>
      <c r="D1487">
        <v>1</v>
      </c>
      <c r="E1487">
        <v>1975</v>
      </c>
      <c r="G1487" t="s">
        <v>9</v>
      </c>
      <c r="H1487" t="s">
        <v>67</v>
      </c>
    </row>
    <row r="1488" spans="1:8" x14ac:dyDescent="0.3">
      <c r="A1488" t="s">
        <v>94</v>
      </c>
      <c r="B1488">
        <v>1</v>
      </c>
      <c r="C1488" t="s">
        <v>93</v>
      </c>
      <c r="E1488">
        <v>1976</v>
      </c>
      <c r="G1488" t="s">
        <v>9</v>
      </c>
      <c r="H1488" t="s">
        <v>67</v>
      </c>
    </row>
    <row r="1489" spans="1:8" x14ac:dyDescent="0.3">
      <c r="A1489" t="s">
        <v>94</v>
      </c>
      <c r="B1489">
        <v>1</v>
      </c>
      <c r="C1489" t="s">
        <v>93</v>
      </c>
      <c r="E1489">
        <v>1977</v>
      </c>
      <c r="G1489" t="s">
        <v>9</v>
      </c>
      <c r="H1489" t="s">
        <v>67</v>
      </c>
    </row>
    <row r="1490" spans="1:8" x14ac:dyDescent="0.3">
      <c r="A1490" t="s">
        <v>94</v>
      </c>
      <c r="B1490">
        <v>1</v>
      </c>
      <c r="C1490" t="s">
        <v>93</v>
      </c>
      <c r="E1490">
        <v>1978</v>
      </c>
      <c r="G1490" t="s">
        <v>9</v>
      </c>
      <c r="H1490" t="s">
        <v>67</v>
      </c>
    </row>
    <row r="1491" spans="1:8" x14ac:dyDescent="0.3">
      <c r="A1491" t="s">
        <v>94</v>
      </c>
      <c r="B1491">
        <v>1</v>
      </c>
      <c r="C1491" t="s">
        <v>93</v>
      </c>
      <c r="E1491">
        <v>1979</v>
      </c>
      <c r="G1491" t="s">
        <v>9</v>
      </c>
      <c r="H1491" t="s">
        <v>67</v>
      </c>
    </row>
    <row r="1492" spans="1:8" x14ac:dyDescent="0.3">
      <c r="A1492" t="s">
        <v>94</v>
      </c>
      <c r="B1492">
        <v>1</v>
      </c>
      <c r="C1492" t="s">
        <v>93</v>
      </c>
      <c r="D1492">
        <v>2.2999999999999998</v>
      </c>
      <c r="E1492">
        <v>1980</v>
      </c>
      <c r="G1492" t="s">
        <v>9</v>
      </c>
      <c r="H1492" t="s">
        <v>67</v>
      </c>
    </row>
    <row r="1493" spans="1:8" x14ac:dyDescent="0.3">
      <c r="A1493" t="s">
        <v>94</v>
      </c>
      <c r="B1493">
        <v>1</v>
      </c>
      <c r="C1493" t="s">
        <v>93</v>
      </c>
      <c r="E1493">
        <v>1981</v>
      </c>
      <c r="G1493" t="s">
        <v>9</v>
      </c>
      <c r="H1493" t="s">
        <v>67</v>
      </c>
    </row>
    <row r="1494" spans="1:8" x14ac:dyDescent="0.3">
      <c r="A1494" t="s">
        <v>94</v>
      </c>
      <c r="B1494">
        <v>1</v>
      </c>
      <c r="C1494" t="s">
        <v>93</v>
      </c>
      <c r="E1494">
        <v>1982</v>
      </c>
      <c r="G1494" t="s">
        <v>9</v>
      </c>
      <c r="H1494" t="s">
        <v>67</v>
      </c>
    </row>
    <row r="1495" spans="1:8" x14ac:dyDescent="0.3">
      <c r="A1495" t="s">
        <v>94</v>
      </c>
      <c r="B1495">
        <v>1</v>
      </c>
      <c r="C1495" t="s">
        <v>93</v>
      </c>
      <c r="E1495">
        <v>1983</v>
      </c>
      <c r="G1495" t="s">
        <v>9</v>
      </c>
      <c r="H1495" t="s">
        <v>67</v>
      </c>
    </row>
    <row r="1496" spans="1:8" x14ac:dyDescent="0.3">
      <c r="A1496" t="s">
        <v>94</v>
      </c>
      <c r="B1496">
        <v>1</v>
      </c>
      <c r="C1496" t="s">
        <v>93</v>
      </c>
      <c r="E1496">
        <v>1984</v>
      </c>
      <c r="G1496" t="s">
        <v>9</v>
      </c>
      <c r="H1496" t="s">
        <v>67</v>
      </c>
    </row>
    <row r="1497" spans="1:8" x14ac:dyDescent="0.3">
      <c r="A1497" t="s">
        <v>94</v>
      </c>
      <c r="B1497">
        <v>1</v>
      </c>
      <c r="C1497" t="s">
        <v>93</v>
      </c>
      <c r="E1497">
        <v>1985</v>
      </c>
      <c r="G1497" t="s">
        <v>9</v>
      </c>
      <c r="H1497" t="s">
        <v>67</v>
      </c>
    </row>
    <row r="1498" spans="1:8" x14ac:dyDescent="0.3">
      <c r="A1498" t="s">
        <v>94</v>
      </c>
      <c r="B1498">
        <v>1</v>
      </c>
      <c r="C1498" t="s">
        <v>93</v>
      </c>
      <c r="E1498">
        <v>1986</v>
      </c>
      <c r="G1498" t="s">
        <v>9</v>
      </c>
      <c r="H1498" t="s">
        <v>67</v>
      </c>
    </row>
    <row r="1499" spans="1:8" x14ac:dyDescent="0.3">
      <c r="A1499" t="s">
        <v>94</v>
      </c>
      <c r="B1499">
        <v>1</v>
      </c>
      <c r="C1499" t="s">
        <v>93</v>
      </c>
      <c r="E1499">
        <v>1987</v>
      </c>
      <c r="G1499" t="s">
        <v>9</v>
      </c>
      <c r="H1499" t="s">
        <v>67</v>
      </c>
    </row>
    <row r="1500" spans="1:8" x14ac:dyDescent="0.3">
      <c r="A1500" t="s">
        <v>94</v>
      </c>
      <c r="B1500">
        <v>1</v>
      </c>
      <c r="C1500" t="s">
        <v>93</v>
      </c>
      <c r="D1500">
        <v>9.6999999999999993</v>
      </c>
      <c r="E1500">
        <v>1988</v>
      </c>
      <c r="G1500" t="s">
        <v>9</v>
      </c>
      <c r="H1500" t="s">
        <v>67</v>
      </c>
    </row>
    <row r="1501" spans="1:8" x14ac:dyDescent="0.3">
      <c r="A1501" t="s">
        <v>94</v>
      </c>
      <c r="B1501">
        <v>1</v>
      </c>
      <c r="C1501" t="s">
        <v>93</v>
      </c>
      <c r="E1501">
        <v>1989</v>
      </c>
      <c r="G1501" t="s">
        <v>9</v>
      </c>
      <c r="H1501" t="s">
        <v>67</v>
      </c>
    </row>
    <row r="1502" spans="1:8" x14ac:dyDescent="0.3">
      <c r="A1502" t="s">
        <v>94</v>
      </c>
      <c r="B1502">
        <v>1</v>
      </c>
      <c r="C1502" t="s">
        <v>93</v>
      </c>
      <c r="E1502">
        <v>1990</v>
      </c>
      <c r="G1502" t="s">
        <v>9</v>
      </c>
      <c r="H1502" t="s">
        <v>67</v>
      </c>
    </row>
    <row r="1503" spans="1:8" x14ac:dyDescent="0.3">
      <c r="A1503" t="s">
        <v>94</v>
      </c>
      <c r="B1503">
        <v>1</v>
      </c>
      <c r="C1503" t="s">
        <v>93</v>
      </c>
      <c r="E1503">
        <v>1991</v>
      </c>
      <c r="G1503" t="s">
        <v>9</v>
      </c>
      <c r="H1503" t="s">
        <v>67</v>
      </c>
    </row>
    <row r="1504" spans="1:8" x14ac:dyDescent="0.3">
      <c r="A1504" t="s">
        <v>94</v>
      </c>
      <c r="B1504">
        <v>1</v>
      </c>
      <c r="C1504" t="s">
        <v>93</v>
      </c>
      <c r="E1504">
        <v>1992</v>
      </c>
      <c r="G1504" t="s">
        <v>9</v>
      </c>
      <c r="H1504" t="s">
        <v>67</v>
      </c>
    </row>
    <row r="1505" spans="1:8" x14ac:dyDescent="0.3">
      <c r="A1505" t="s">
        <v>94</v>
      </c>
      <c r="B1505">
        <v>1</v>
      </c>
      <c r="C1505" t="s">
        <v>93</v>
      </c>
      <c r="E1505">
        <v>1993</v>
      </c>
      <c r="G1505" t="s">
        <v>9</v>
      </c>
      <c r="H1505" t="s">
        <v>67</v>
      </c>
    </row>
    <row r="1506" spans="1:8" x14ac:dyDescent="0.3">
      <c r="A1506" t="s">
        <v>94</v>
      </c>
      <c r="B1506">
        <v>1</v>
      </c>
      <c r="C1506" t="s">
        <v>93</v>
      </c>
      <c r="D1506">
        <v>8.1</v>
      </c>
      <c r="E1506">
        <v>1994</v>
      </c>
      <c r="G1506" t="s">
        <v>9</v>
      </c>
      <c r="H1506" t="s">
        <v>67</v>
      </c>
    </row>
    <row r="1507" spans="1:8" x14ac:dyDescent="0.3">
      <c r="A1507" t="s">
        <v>94</v>
      </c>
      <c r="B1507">
        <v>1</v>
      </c>
      <c r="C1507" t="s">
        <v>93</v>
      </c>
      <c r="E1507">
        <v>1995</v>
      </c>
      <c r="G1507" t="s">
        <v>9</v>
      </c>
      <c r="H1507" t="s">
        <v>67</v>
      </c>
    </row>
    <row r="1508" spans="1:8" x14ac:dyDescent="0.3">
      <c r="A1508" t="s">
        <v>94</v>
      </c>
      <c r="B1508">
        <v>1</v>
      </c>
      <c r="C1508" t="s">
        <v>93</v>
      </c>
      <c r="E1508">
        <v>1996</v>
      </c>
      <c r="G1508" t="s">
        <v>9</v>
      </c>
      <c r="H1508" t="s">
        <v>67</v>
      </c>
    </row>
    <row r="1509" spans="1:8" x14ac:dyDescent="0.3">
      <c r="A1509" t="s">
        <v>94</v>
      </c>
      <c r="B1509">
        <v>1</v>
      </c>
      <c r="C1509" t="s">
        <v>93</v>
      </c>
      <c r="E1509">
        <v>1997</v>
      </c>
      <c r="G1509" t="s">
        <v>9</v>
      </c>
      <c r="H1509" t="s">
        <v>67</v>
      </c>
    </row>
    <row r="1510" spans="1:8" x14ac:dyDescent="0.3">
      <c r="A1510" t="s">
        <v>94</v>
      </c>
      <c r="B1510">
        <v>1</v>
      </c>
      <c r="C1510" t="s">
        <v>93</v>
      </c>
      <c r="E1510">
        <v>1998</v>
      </c>
      <c r="G1510" t="s">
        <v>9</v>
      </c>
      <c r="H1510" t="s">
        <v>67</v>
      </c>
    </row>
    <row r="1511" spans="1:8" x14ac:dyDescent="0.3">
      <c r="A1511" t="s">
        <v>94</v>
      </c>
      <c r="B1511">
        <v>1</v>
      </c>
      <c r="C1511" t="s">
        <v>93</v>
      </c>
      <c r="E1511">
        <v>1999</v>
      </c>
      <c r="G1511" t="s">
        <v>9</v>
      </c>
      <c r="H1511" t="s">
        <v>67</v>
      </c>
    </row>
    <row r="1512" spans="1:8" x14ac:dyDescent="0.3">
      <c r="A1512" t="s">
        <v>94</v>
      </c>
      <c r="B1512">
        <v>1</v>
      </c>
      <c r="C1512" t="s">
        <v>93</v>
      </c>
      <c r="E1512">
        <v>2000</v>
      </c>
      <c r="G1512" t="s">
        <v>9</v>
      </c>
      <c r="H1512" t="s">
        <v>67</v>
      </c>
    </row>
    <row r="1513" spans="1:8" x14ac:dyDescent="0.3">
      <c r="A1513" t="s">
        <v>94</v>
      </c>
      <c r="B1513">
        <v>1</v>
      </c>
      <c r="C1513" t="s">
        <v>93</v>
      </c>
      <c r="D1513">
        <v>8.8000000000000007</v>
      </c>
      <c r="E1513">
        <v>2001</v>
      </c>
      <c r="G1513" t="s">
        <v>9</v>
      </c>
      <c r="H1513" t="s">
        <v>67</v>
      </c>
    </row>
    <row r="1514" spans="1:8" x14ac:dyDescent="0.3">
      <c r="A1514" t="s">
        <v>94</v>
      </c>
      <c r="B1514">
        <v>1</v>
      </c>
      <c r="C1514" t="s">
        <v>93</v>
      </c>
      <c r="E1514">
        <v>2002</v>
      </c>
      <c r="G1514" t="s">
        <v>9</v>
      </c>
      <c r="H1514" t="s">
        <v>67</v>
      </c>
    </row>
    <row r="1515" spans="1:8" x14ac:dyDescent="0.3">
      <c r="A1515" t="s">
        <v>94</v>
      </c>
      <c r="B1515">
        <v>1</v>
      </c>
      <c r="C1515" t="s">
        <v>93</v>
      </c>
      <c r="D1515">
        <v>9.1</v>
      </c>
      <c r="E1515">
        <v>2003</v>
      </c>
      <c r="G1515" t="s">
        <v>9</v>
      </c>
      <c r="H1515" t="s">
        <v>67</v>
      </c>
    </row>
    <row r="1516" spans="1:8" x14ac:dyDescent="0.3">
      <c r="A1516" t="s">
        <v>94</v>
      </c>
      <c r="B1516">
        <v>1</v>
      </c>
      <c r="C1516" t="s">
        <v>93</v>
      </c>
      <c r="E1516">
        <v>2004</v>
      </c>
      <c r="G1516" t="s">
        <v>9</v>
      </c>
      <c r="H1516" t="s">
        <v>67</v>
      </c>
    </row>
    <row r="1517" spans="1:8" x14ac:dyDescent="0.3">
      <c r="A1517" t="s">
        <v>94</v>
      </c>
      <c r="B1517">
        <v>1</v>
      </c>
      <c r="C1517" t="s">
        <v>93</v>
      </c>
      <c r="E1517">
        <v>2005</v>
      </c>
      <c r="G1517" t="s">
        <v>9</v>
      </c>
      <c r="H1517" t="s">
        <v>67</v>
      </c>
    </row>
    <row r="1518" spans="1:8" x14ac:dyDescent="0.3">
      <c r="A1518" t="s">
        <v>94</v>
      </c>
      <c r="B1518">
        <v>1</v>
      </c>
      <c r="C1518" t="s">
        <v>93</v>
      </c>
      <c r="D1518">
        <v>5.4</v>
      </c>
      <c r="E1518">
        <v>2006</v>
      </c>
      <c r="G1518" t="s">
        <v>9</v>
      </c>
      <c r="H1518" t="s">
        <v>67</v>
      </c>
    </row>
    <row r="1519" spans="1:8" x14ac:dyDescent="0.3">
      <c r="A1519" t="s">
        <v>94</v>
      </c>
      <c r="B1519">
        <v>1</v>
      </c>
      <c r="C1519" t="s">
        <v>93</v>
      </c>
      <c r="D1519">
        <v>1.7</v>
      </c>
      <c r="E1519">
        <v>2007</v>
      </c>
      <c r="G1519" t="s">
        <v>9</v>
      </c>
      <c r="H1519" t="s">
        <v>67</v>
      </c>
    </row>
    <row r="1520" spans="1:8" x14ac:dyDescent="0.3">
      <c r="A1520" t="s">
        <v>94</v>
      </c>
      <c r="B1520">
        <v>1</v>
      </c>
      <c r="C1520" t="s">
        <v>93</v>
      </c>
      <c r="D1520">
        <v>4.4000000000000004</v>
      </c>
      <c r="E1520">
        <v>2008</v>
      </c>
      <c r="G1520" t="s">
        <v>9</v>
      </c>
      <c r="H1520" t="s">
        <v>67</v>
      </c>
    </row>
    <row r="1521" spans="1:8" x14ac:dyDescent="0.3">
      <c r="A1521" t="s">
        <v>94</v>
      </c>
      <c r="B1521">
        <v>1</v>
      </c>
      <c r="C1521" t="s">
        <v>93</v>
      </c>
      <c r="E1521">
        <v>2009</v>
      </c>
      <c r="G1521" t="s">
        <v>9</v>
      </c>
      <c r="H1521" t="s">
        <v>67</v>
      </c>
    </row>
    <row r="1522" spans="1:8" x14ac:dyDescent="0.3">
      <c r="A1522" t="s">
        <v>94</v>
      </c>
      <c r="B1522">
        <v>1</v>
      </c>
      <c r="C1522" t="s">
        <v>93</v>
      </c>
      <c r="D1522">
        <v>5.6</v>
      </c>
      <c r="E1522">
        <v>2010</v>
      </c>
      <c r="G1522" t="s">
        <v>9</v>
      </c>
      <c r="H1522" t="s">
        <v>67</v>
      </c>
    </row>
    <row r="1523" spans="1:8" x14ac:dyDescent="0.3">
      <c r="A1523" t="s">
        <v>94</v>
      </c>
      <c r="B1523">
        <v>1</v>
      </c>
      <c r="C1523" t="s">
        <v>93</v>
      </c>
      <c r="E1523">
        <v>2011</v>
      </c>
      <c r="G1523" t="s">
        <v>9</v>
      </c>
      <c r="H1523" t="s">
        <v>67</v>
      </c>
    </row>
    <row r="1524" spans="1:8" x14ac:dyDescent="0.3">
      <c r="A1524" t="s">
        <v>94</v>
      </c>
      <c r="B1524">
        <v>1</v>
      </c>
      <c r="C1524" t="s">
        <v>93</v>
      </c>
      <c r="E1524">
        <v>2012</v>
      </c>
      <c r="G1524" t="s">
        <v>9</v>
      </c>
      <c r="H1524" t="s">
        <v>67</v>
      </c>
    </row>
    <row r="1525" spans="1:8" x14ac:dyDescent="0.3">
      <c r="A1525" t="s">
        <v>94</v>
      </c>
      <c r="B1525">
        <v>1</v>
      </c>
      <c r="C1525" t="s">
        <v>93</v>
      </c>
      <c r="E1525">
        <v>2013</v>
      </c>
      <c r="G1525" t="s">
        <v>9</v>
      </c>
      <c r="H1525" t="s">
        <v>67</v>
      </c>
    </row>
    <row r="1526" spans="1:8" x14ac:dyDescent="0.3">
      <c r="A1526" t="s">
        <v>94</v>
      </c>
      <c r="B1526">
        <v>1</v>
      </c>
      <c r="C1526" t="s">
        <v>93</v>
      </c>
      <c r="D1526">
        <v>0.8</v>
      </c>
      <c r="E1526">
        <v>2014</v>
      </c>
      <c r="G1526" t="s">
        <v>9</v>
      </c>
      <c r="H1526" t="s">
        <v>67</v>
      </c>
    </row>
    <row r="1527" spans="1:8" x14ac:dyDescent="0.3">
      <c r="A1527" t="s">
        <v>95</v>
      </c>
      <c r="B1527">
        <v>1</v>
      </c>
      <c r="C1527" t="s">
        <v>96</v>
      </c>
      <c r="D1527">
        <v>0.1</v>
      </c>
      <c r="E1527">
        <v>1975</v>
      </c>
      <c r="G1527" t="s">
        <v>9</v>
      </c>
      <c r="H1527" t="s">
        <v>67</v>
      </c>
    </row>
    <row r="1528" spans="1:8" x14ac:dyDescent="0.3">
      <c r="A1528" t="s">
        <v>95</v>
      </c>
      <c r="B1528">
        <v>1</v>
      </c>
      <c r="C1528" t="s">
        <v>96</v>
      </c>
      <c r="E1528">
        <v>1976</v>
      </c>
      <c r="G1528" t="s">
        <v>9</v>
      </c>
      <c r="H1528" t="s">
        <v>67</v>
      </c>
    </row>
    <row r="1529" spans="1:8" x14ac:dyDescent="0.3">
      <c r="A1529" t="s">
        <v>95</v>
      </c>
      <c r="B1529">
        <v>1</v>
      </c>
      <c r="C1529" t="s">
        <v>96</v>
      </c>
      <c r="E1529">
        <v>1977</v>
      </c>
      <c r="G1529" t="s">
        <v>9</v>
      </c>
      <c r="H1529" t="s">
        <v>67</v>
      </c>
    </row>
    <row r="1530" spans="1:8" x14ac:dyDescent="0.3">
      <c r="A1530" t="s">
        <v>95</v>
      </c>
      <c r="B1530">
        <v>1</v>
      </c>
      <c r="C1530" t="s">
        <v>96</v>
      </c>
      <c r="E1530">
        <v>1978</v>
      </c>
      <c r="G1530" t="s">
        <v>9</v>
      </c>
      <c r="H1530" t="s">
        <v>67</v>
      </c>
    </row>
    <row r="1531" spans="1:8" x14ac:dyDescent="0.3">
      <c r="A1531" t="s">
        <v>95</v>
      </c>
      <c r="B1531">
        <v>1</v>
      </c>
      <c r="C1531" t="s">
        <v>96</v>
      </c>
      <c r="E1531">
        <v>1979</v>
      </c>
      <c r="G1531" t="s">
        <v>9</v>
      </c>
      <c r="H1531" t="s">
        <v>67</v>
      </c>
    </row>
    <row r="1532" spans="1:8" x14ac:dyDescent="0.3">
      <c r="A1532" t="s">
        <v>95</v>
      </c>
      <c r="B1532">
        <v>1</v>
      </c>
      <c r="C1532" t="s">
        <v>96</v>
      </c>
      <c r="D1532">
        <v>0.1</v>
      </c>
      <c r="E1532">
        <v>1980</v>
      </c>
      <c r="G1532" t="s">
        <v>9</v>
      </c>
      <c r="H1532" t="s">
        <v>67</v>
      </c>
    </row>
    <row r="1533" spans="1:8" x14ac:dyDescent="0.3">
      <c r="A1533" t="s">
        <v>95</v>
      </c>
      <c r="B1533">
        <v>1</v>
      </c>
      <c r="C1533" t="s">
        <v>96</v>
      </c>
      <c r="E1533">
        <v>1981</v>
      </c>
      <c r="G1533" t="s">
        <v>9</v>
      </c>
      <c r="H1533" t="s">
        <v>67</v>
      </c>
    </row>
    <row r="1534" spans="1:8" x14ac:dyDescent="0.3">
      <c r="A1534" t="s">
        <v>95</v>
      </c>
      <c r="B1534">
        <v>1</v>
      </c>
      <c r="C1534" t="s">
        <v>96</v>
      </c>
      <c r="E1534">
        <v>1982</v>
      </c>
      <c r="G1534" t="s">
        <v>9</v>
      </c>
      <c r="H1534" t="s">
        <v>67</v>
      </c>
    </row>
    <row r="1535" spans="1:8" x14ac:dyDescent="0.3">
      <c r="A1535" t="s">
        <v>95</v>
      </c>
      <c r="B1535">
        <v>1</v>
      </c>
      <c r="C1535" t="s">
        <v>96</v>
      </c>
      <c r="E1535">
        <v>1983</v>
      </c>
      <c r="G1535" t="s">
        <v>9</v>
      </c>
      <c r="H1535" t="s">
        <v>67</v>
      </c>
    </row>
    <row r="1536" spans="1:8" x14ac:dyDescent="0.3">
      <c r="A1536" t="s">
        <v>95</v>
      </c>
      <c r="B1536">
        <v>1</v>
      </c>
      <c r="C1536" t="s">
        <v>96</v>
      </c>
      <c r="E1536">
        <v>1984</v>
      </c>
      <c r="G1536" t="s">
        <v>9</v>
      </c>
      <c r="H1536" t="s">
        <v>67</v>
      </c>
    </row>
    <row r="1537" spans="1:8" x14ac:dyDescent="0.3">
      <c r="A1537" t="s">
        <v>95</v>
      </c>
      <c r="B1537">
        <v>1</v>
      </c>
      <c r="C1537" t="s">
        <v>96</v>
      </c>
      <c r="E1537">
        <v>1985</v>
      </c>
      <c r="G1537" t="s">
        <v>9</v>
      </c>
      <c r="H1537" t="s">
        <v>67</v>
      </c>
    </row>
    <row r="1538" spans="1:8" x14ac:dyDescent="0.3">
      <c r="A1538" t="s">
        <v>95</v>
      </c>
      <c r="B1538">
        <v>1</v>
      </c>
      <c r="C1538" t="s">
        <v>96</v>
      </c>
      <c r="E1538">
        <v>1986</v>
      </c>
      <c r="G1538" t="s">
        <v>9</v>
      </c>
      <c r="H1538" t="s">
        <v>67</v>
      </c>
    </row>
    <row r="1539" spans="1:8" x14ac:dyDescent="0.3">
      <c r="A1539" t="s">
        <v>95</v>
      </c>
      <c r="B1539">
        <v>1</v>
      </c>
      <c r="C1539" t="s">
        <v>96</v>
      </c>
      <c r="E1539">
        <v>1987</v>
      </c>
      <c r="G1539" t="s">
        <v>9</v>
      </c>
      <c r="H1539" t="s">
        <v>67</v>
      </c>
    </row>
    <row r="1540" spans="1:8" x14ac:dyDescent="0.3">
      <c r="A1540" t="s">
        <v>95</v>
      </c>
      <c r="B1540">
        <v>1</v>
      </c>
      <c r="C1540" t="s">
        <v>96</v>
      </c>
      <c r="D1540">
        <v>24.9</v>
      </c>
      <c r="E1540">
        <v>1988</v>
      </c>
      <c r="G1540" t="s">
        <v>9</v>
      </c>
      <c r="H1540" t="s">
        <v>67</v>
      </c>
    </row>
    <row r="1541" spans="1:8" x14ac:dyDescent="0.3">
      <c r="A1541" t="s">
        <v>95</v>
      </c>
      <c r="B1541">
        <v>1</v>
      </c>
      <c r="C1541" t="s">
        <v>96</v>
      </c>
      <c r="E1541">
        <v>1989</v>
      </c>
      <c r="G1541" t="s">
        <v>9</v>
      </c>
      <c r="H1541" t="s">
        <v>67</v>
      </c>
    </row>
    <row r="1542" spans="1:8" x14ac:dyDescent="0.3">
      <c r="A1542" t="s">
        <v>95</v>
      </c>
      <c r="B1542">
        <v>1</v>
      </c>
      <c r="C1542" t="s">
        <v>96</v>
      </c>
      <c r="E1542">
        <v>1990</v>
      </c>
      <c r="G1542" t="s">
        <v>9</v>
      </c>
      <c r="H1542" t="s">
        <v>67</v>
      </c>
    </row>
    <row r="1543" spans="1:8" x14ac:dyDescent="0.3">
      <c r="A1543" t="s">
        <v>95</v>
      </c>
      <c r="B1543">
        <v>1</v>
      </c>
      <c r="C1543" t="s">
        <v>96</v>
      </c>
      <c r="E1543">
        <v>1991</v>
      </c>
      <c r="G1543" t="s">
        <v>9</v>
      </c>
      <c r="H1543" t="s">
        <v>67</v>
      </c>
    </row>
    <row r="1544" spans="1:8" x14ac:dyDescent="0.3">
      <c r="A1544" t="s">
        <v>95</v>
      </c>
      <c r="B1544">
        <v>1</v>
      </c>
      <c r="C1544" t="s">
        <v>96</v>
      </c>
      <c r="E1544">
        <v>1992</v>
      </c>
      <c r="G1544" t="s">
        <v>9</v>
      </c>
      <c r="H1544" t="s">
        <v>67</v>
      </c>
    </row>
    <row r="1545" spans="1:8" x14ac:dyDescent="0.3">
      <c r="A1545" t="s">
        <v>95</v>
      </c>
      <c r="B1545">
        <v>1</v>
      </c>
      <c r="C1545" t="s">
        <v>96</v>
      </c>
      <c r="E1545">
        <v>1993</v>
      </c>
      <c r="G1545" t="s">
        <v>9</v>
      </c>
      <c r="H1545" t="s">
        <v>67</v>
      </c>
    </row>
    <row r="1546" spans="1:8" x14ac:dyDescent="0.3">
      <c r="A1546" t="s">
        <v>95</v>
      </c>
      <c r="B1546">
        <v>1</v>
      </c>
      <c r="C1546" t="s">
        <v>96</v>
      </c>
      <c r="D1546">
        <v>33.299999999999997</v>
      </c>
      <c r="E1546">
        <v>1994</v>
      </c>
      <c r="G1546" t="s">
        <v>9</v>
      </c>
      <c r="H1546" t="s">
        <v>67</v>
      </c>
    </row>
    <row r="1547" spans="1:8" x14ac:dyDescent="0.3">
      <c r="A1547" t="s">
        <v>95</v>
      </c>
      <c r="B1547">
        <v>1</v>
      </c>
      <c r="C1547" t="s">
        <v>96</v>
      </c>
      <c r="E1547">
        <v>1995</v>
      </c>
      <c r="G1547" t="s">
        <v>9</v>
      </c>
      <c r="H1547" t="s">
        <v>67</v>
      </c>
    </row>
    <row r="1548" spans="1:8" x14ac:dyDescent="0.3">
      <c r="A1548" t="s">
        <v>95</v>
      </c>
      <c r="B1548">
        <v>1</v>
      </c>
      <c r="C1548" t="s">
        <v>96</v>
      </c>
      <c r="E1548">
        <v>1996</v>
      </c>
      <c r="G1548" t="s">
        <v>9</v>
      </c>
      <c r="H1548" t="s">
        <v>67</v>
      </c>
    </row>
    <row r="1549" spans="1:8" x14ac:dyDescent="0.3">
      <c r="A1549" t="s">
        <v>95</v>
      </c>
      <c r="B1549">
        <v>1</v>
      </c>
      <c r="C1549" t="s">
        <v>96</v>
      </c>
      <c r="E1549">
        <v>1997</v>
      </c>
      <c r="G1549" t="s">
        <v>9</v>
      </c>
      <c r="H1549" t="s">
        <v>67</v>
      </c>
    </row>
    <row r="1550" spans="1:8" x14ac:dyDescent="0.3">
      <c r="A1550" t="s">
        <v>95</v>
      </c>
      <c r="B1550">
        <v>1</v>
      </c>
      <c r="C1550" t="s">
        <v>96</v>
      </c>
      <c r="E1550">
        <v>1998</v>
      </c>
      <c r="G1550" t="s">
        <v>9</v>
      </c>
      <c r="H1550" t="s">
        <v>67</v>
      </c>
    </row>
    <row r="1551" spans="1:8" x14ac:dyDescent="0.3">
      <c r="A1551" t="s">
        <v>95</v>
      </c>
      <c r="B1551">
        <v>1</v>
      </c>
      <c r="C1551" t="s">
        <v>96</v>
      </c>
      <c r="E1551">
        <v>1999</v>
      </c>
      <c r="G1551" t="s">
        <v>9</v>
      </c>
      <c r="H1551" t="s">
        <v>67</v>
      </c>
    </row>
    <row r="1552" spans="1:8" x14ac:dyDescent="0.3">
      <c r="A1552" t="s">
        <v>95</v>
      </c>
      <c r="B1552">
        <v>1</v>
      </c>
      <c r="C1552" t="s">
        <v>96</v>
      </c>
      <c r="E1552">
        <v>2000</v>
      </c>
      <c r="G1552" t="s">
        <v>9</v>
      </c>
      <c r="H1552" t="s">
        <v>67</v>
      </c>
    </row>
    <row r="1553" spans="1:8" x14ac:dyDescent="0.3">
      <c r="A1553" t="s">
        <v>95</v>
      </c>
      <c r="B1553">
        <v>1</v>
      </c>
      <c r="C1553" t="s">
        <v>96</v>
      </c>
      <c r="D1553">
        <v>15.8</v>
      </c>
      <c r="E1553">
        <v>2001</v>
      </c>
      <c r="G1553" t="s">
        <v>9</v>
      </c>
      <c r="H1553" t="s">
        <v>67</v>
      </c>
    </row>
    <row r="1554" spans="1:8" x14ac:dyDescent="0.3">
      <c r="A1554" t="s">
        <v>95</v>
      </c>
      <c r="B1554">
        <v>1</v>
      </c>
      <c r="C1554" t="s">
        <v>96</v>
      </c>
      <c r="E1554">
        <v>2002</v>
      </c>
      <c r="G1554" t="s">
        <v>9</v>
      </c>
      <c r="H1554" t="s">
        <v>67</v>
      </c>
    </row>
    <row r="1555" spans="1:8" x14ac:dyDescent="0.3">
      <c r="A1555" t="s">
        <v>95</v>
      </c>
      <c r="B1555">
        <v>1</v>
      </c>
      <c r="C1555" t="s">
        <v>96</v>
      </c>
      <c r="D1555">
        <v>31.8</v>
      </c>
      <c r="E1555">
        <v>2003</v>
      </c>
      <c r="G1555" t="s">
        <v>9</v>
      </c>
      <c r="H1555" t="s">
        <v>67</v>
      </c>
    </row>
    <row r="1556" spans="1:8" x14ac:dyDescent="0.3">
      <c r="A1556" t="s">
        <v>95</v>
      </c>
      <c r="B1556">
        <v>1</v>
      </c>
      <c r="C1556" t="s">
        <v>96</v>
      </c>
      <c r="D1556">
        <v>20.3</v>
      </c>
      <c r="E1556">
        <v>2004</v>
      </c>
      <c r="G1556" t="s">
        <v>9</v>
      </c>
      <c r="H1556" t="s">
        <v>67</v>
      </c>
    </row>
    <row r="1557" spans="1:8" x14ac:dyDescent="0.3">
      <c r="A1557" t="s">
        <v>95</v>
      </c>
      <c r="B1557">
        <v>1</v>
      </c>
      <c r="C1557" t="s">
        <v>96</v>
      </c>
      <c r="E1557">
        <v>2005</v>
      </c>
      <c r="G1557" t="s">
        <v>9</v>
      </c>
      <c r="H1557" t="s">
        <v>67</v>
      </c>
    </row>
    <row r="1558" spans="1:8" x14ac:dyDescent="0.3">
      <c r="A1558" t="s">
        <v>95</v>
      </c>
      <c r="B1558">
        <v>1</v>
      </c>
      <c r="C1558" t="s">
        <v>96</v>
      </c>
      <c r="E1558">
        <v>2006</v>
      </c>
      <c r="G1558" t="s">
        <v>9</v>
      </c>
      <c r="H1558" t="s">
        <v>67</v>
      </c>
    </row>
    <row r="1559" spans="1:8" x14ac:dyDescent="0.3">
      <c r="A1559" t="s">
        <v>95</v>
      </c>
      <c r="B1559">
        <v>1</v>
      </c>
      <c r="C1559" t="s">
        <v>96</v>
      </c>
      <c r="D1559">
        <v>7.9</v>
      </c>
      <c r="E1559">
        <v>2007</v>
      </c>
      <c r="G1559" t="s">
        <v>9</v>
      </c>
      <c r="H1559" t="s">
        <v>67</v>
      </c>
    </row>
    <row r="1560" spans="1:8" x14ac:dyDescent="0.3">
      <c r="A1560" t="s">
        <v>95</v>
      </c>
      <c r="B1560">
        <v>1</v>
      </c>
      <c r="C1560" t="s">
        <v>96</v>
      </c>
      <c r="D1560">
        <v>9.3000000000000007</v>
      </c>
      <c r="E1560">
        <v>2008</v>
      </c>
      <c r="G1560" t="s">
        <v>9</v>
      </c>
      <c r="H1560" t="s">
        <v>67</v>
      </c>
    </row>
    <row r="1561" spans="1:8" x14ac:dyDescent="0.3">
      <c r="A1561" t="s">
        <v>95</v>
      </c>
      <c r="B1561">
        <v>1</v>
      </c>
      <c r="C1561" t="s">
        <v>96</v>
      </c>
      <c r="E1561">
        <v>2009</v>
      </c>
      <c r="G1561" t="s">
        <v>9</v>
      </c>
      <c r="H1561" t="s">
        <v>67</v>
      </c>
    </row>
    <row r="1562" spans="1:8" x14ac:dyDescent="0.3">
      <c r="A1562" t="s">
        <v>95</v>
      </c>
      <c r="B1562">
        <v>1</v>
      </c>
      <c r="C1562" t="s">
        <v>96</v>
      </c>
      <c r="D1562">
        <v>19.600000000000001</v>
      </c>
      <c r="E1562">
        <v>2010</v>
      </c>
      <c r="G1562" t="s">
        <v>9</v>
      </c>
      <c r="H1562" t="s">
        <v>67</v>
      </c>
    </row>
    <row r="1563" spans="1:8" x14ac:dyDescent="0.3">
      <c r="A1563" t="s">
        <v>95</v>
      </c>
      <c r="B1563">
        <v>1</v>
      </c>
      <c r="C1563" t="s">
        <v>96</v>
      </c>
      <c r="E1563">
        <v>2011</v>
      </c>
      <c r="G1563" t="s">
        <v>9</v>
      </c>
      <c r="H1563" t="s">
        <v>67</v>
      </c>
    </row>
    <row r="1564" spans="1:8" x14ac:dyDescent="0.3">
      <c r="A1564" t="s">
        <v>95</v>
      </c>
      <c r="B1564">
        <v>1</v>
      </c>
      <c r="C1564" t="s">
        <v>96</v>
      </c>
      <c r="E1564">
        <v>2012</v>
      </c>
      <c r="G1564" t="s">
        <v>9</v>
      </c>
      <c r="H1564" t="s">
        <v>67</v>
      </c>
    </row>
    <row r="1565" spans="1:8" x14ac:dyDescent="0.3">
      <c r="A1565" t="s">
        <v>95</v>
      </c>
      <c r="B1565">
        <v>1</v>
      </c>
      <c r="C1565" t="s">
        <v>96</v>
      </c>
      <c r="E1565">
        <v>2013</v>
      </c>
      <c r="G1565" t="s">
        <v>9</v>
      </c>
      <c r="H1565" t="s">
        <v>67</v>
      </c>
    </row>
    <row r="1566" spans="1:8" x14ac:dyDescent="0.3">
      <c r="A1566" t="s">
        <v>95</v>
      </c>
      <c r="B1566">
        <v>1</v>
      </c>
      <c r="C1566" t="s">
        <v>96</v>
      </c>
      <c r="D1566">
        <v>5.7</v>
      </c>
      <c r="E1566">
        <v>2014</v>
      </c>
      <c r="G1566" t="s">
        <v>9</v>
      </c>
      <c r="H1566" t="s">
        <v>67</v>
      </c>
    </row>
    <row r="1567" spans="1:8" x14ac:dyDescent="0.3">
      <c r="A1567" t="s">
        <v>95</v>
      </c>
      <c r="B1567">
        <v>1</v>
      </c>
      <c r="C1567" t="s">
        <v>96</v>
      </c>
      <c r="E1567">
        <v>2015</v>
      </c>
      <c r="G1567" t="s">
        <v>9</v>
      </c>
      <c r="H1567" t="s">
        <v>67</v>
      </c>
    </row>
    <row r="1568" spans="1:8" x14ac:dyDescent="0.3">
      <c r="A1568" t="s">
        <v>95</v>
      </c>
      <c r="B1568">
        <v>1</v>
      </c>
      <c r="C1568" t="s">
        <v>96</v>
      </c>
      <c r="E1568">
        <v>2016</v>
      </c>
      <c r="G1568" t="s">
        <v>9</v>
      </c>
      <c r="H1568" t="s">
        <v>67</v>
      </c>
    </row>
    <row r="1569" spans="1:8" x14ac:dyDescent="0.3">
      <c r="A1569" t="s">
        <v>95</v>
      </c>
      <c r="B1569">
        <v>1</v>
      </c>
      <c r="C1569" t="s">
        <v>96</v>
      </c>
      <c r="D1569">
        <v>8.8000000000000007</v>
      </c>
      <c r="E1569">
        <v>2017</v>
      </c>
      <c r="G1569" t="s">
        <v>9</v>
      </c>
      <c r="H1569" t="s">
        <v>67</v>
      </c>
    </row>
    <row r="1570" spans="1:8" x14ac:dyDescent="0.3">
      <c r="A1570" t="s">
        <v>98</v>
      </c>
      <c r="B1570">
        <v>1</v>
      </c>
      <c r="C1570" t="s">
        <v>97</v>
      </c>
      <c r="D1570">
        <v>9.8000000000000007</v>
      </c>
      <c r="E1570">
        <v>1975</v>
      </c>
      <c r="G1570" t="s">
        <v>9</v>
      </c>
      <c r="H1570" t="s">
        <v>67</v>
      </c>
    </row>
    <row r="1571" spans="1:8" x14ac:dyDescent="0.3">
      <c r="A1571" t="s">
        <v>98</v>
      </c>
      <c r="B1571">
        <v>1</v>
      </c>
      <c r="C1571" t="s">
        <v>97</v>
      </c>
      <c r="E1571">
        <v>1976</v>
      </c>
      <c r="G1571" t="s">
        <v>9</v>
      </c>
      <c r="H1571" t="s">
        <v>67</v>
      </c>
    </row>
    <row r="1572" spans="1:8" x14ac:dyDescent="0.3">
      <c r="A1572" t="s">
        <v>98</v>
      </c>
      <c r="B1572">
        <v>1</v>
      </c>
      <c r="C1572" t="s">
        <v>97</v>
      </c>
      <c r="E1572">
        <v>1977</v>
      </c>
      <c r="G1572" t="s">
        <v>9</v>
      </c>
      <c r="H1572" t="s">
        <v>67</v>
      </c>
    </row>
    <row r="1573" spans="1:8" x14ac:dyDescent="0.3">
      <c r="A1573" t="s">
        <v>98</v>
      </c>
      <c r="B1573">
        <v>1</v>
      </c>
      <c r="C1573" t="s">
        <v>97</v>
      </c>
      <c r="E1573">
        <v>1978</v>
      </c>
      <c r="G1573" t="s">
        <v>9</v>
      </c>
      <c r="H1573" t="s">
        <v>67</v>
      </c>
    </row>
    <row r="1574" spans="1:8" x14ac:dyDescent="0.3">
      <c r="A1574" t="s">
        <v>98</v>
      </c>
      <c r="B1574">
        <v>1</v>
      </c>
      <c r="C1574" t="s">
        <v>97</v>
      </c>
      <c r="E1574">
        <v>1979</v>
      </c>
      <c r="G1574" t="s">
        <v>9</v>
      </c>
      <c r="H1574" t="s">
        <v>67</v>
      </c>
    </row>
    <row r="1575" spans="1:8" x14ac:dyDescent="0.3">
      <c r="A1575" t="s">
        <v>98</v>
      </c>
      <c r="B1575">
        <v>1</v>
      </c>
      <c r="C1575" t="s">
        <v>97</v>
      </c>
      <c r="D1575">
        <v>7.4</v>
      </c>
      <c r="E1575">
        <v>1980</v>
      </c>
      <c r="G1575" t="s">
        <v>9</v>
      </c>
      <c r="H1575" t="s">
        <v>67</v>
      </c>
    </row>
    <row r="1576" spans="1:8" x14ac:dyDescent="0.3">
      <c r="A1576" t="s">
        <v>98</v>
      </c>
      <c r="B1576">
        <v>1</v>
      </c>
      <c r="C1576" t="s">
        <v>97</v>
      </c>
      <c r="E1576">
        <v>1981</v>
      </c>
      <c r="G1576" t="s">
        <v>9</v>
      </c>
      <c r="H1576" t="s">
        <v>67</v>
      </c>
    </row>
    <row r="1577" spans="1:8" x14ac:dyDescent="0.3">
      <c r="A1577" t="s">
        <v>98</v>
      </c>
      <c r="B1577">
        <v>1</v>
      </c>
      <c r="C1577" t="s">
        <v>97</v>
      </c>
      <c r="E1577">
        <v>1982</v>
      </c>
      <c r="G1577" t="s">
        <v>9</v>
      </c>
      <c r="H1577" t="s">
        <v>67</v>
      </c>
    </row>
    <row r="1578" spans="1:8" x14ac:dyDescent="0.3">
      <c r="A1578" t="s">
        <v>98</v>
      </c>
      <c r="B1578">
        <v>1</v>
      </c>
      <c r="C1578" t="s">
        <v>97</v>
      </c>
      <c r="E1578">
        <v>1983</v>
      </c>
      <c r="G1578" t="s">
        <v>9</v>
      </c>
      <c r="H1578" t="s">
        <v>67</v>
      </c>
    </row>
    <row r="1579" spans="1:8" x14ac:dyDescent="0.3">
      <c r="A1579" t="s">
        <v>98</v>
      </c>
      <c r="B1579">
        <v>1</v>
      </c>
      <c r="C1579" t="s">
        <v>97</v>
      </c>
      <c r="E1579">
        <v>1984</v>
      </c>
      <c r="G1579" t="s">
        <v>9</v>
      </c>
      <c r="H1579" t="s">
        <v>67</v>
      </c>
    </row>
    <row r="1580" spans="1:8" x14ac:dyDescent="0.3">
      <c r="A1580" t="s">
        <v>98</v>
      </c>
      <c r="B1580">
        <v>1</v>
      </c>
      <c r="C1580" t="s">
        <v>97</v>
      </c>
      <c r="E1580">
        <v>1985</v>
      </c>
      <c r="G1580" t="s">
        <v>9</v>
      </c>
      <c r="H1580" t="s">
        <v>67</v>
      </c>
    </row>
    <row r="1581" spans="1:8" x14ac:dyDescent="0.3">
      <c r="A1581" t="s">
        <v>98</v>
      </c>
      <c r="B1581">
        <v>1</v>
      </c>
      <c r="C1581" t="s">
        <v>97</v>
      </c>
      <c r="E1581">
        <v>1986</v>
      </c>
      <c r="G1581" t="s">
        <v>9</v>
      </c>
      <c r="H1581" t="s">
        <v>67</v>
      </c>
    </row>
    <row r="1582" spans="1:8" x14ac:dyDescent="0.3">
      <c r="A1582" t="s">
        <v>98</v>
      </c>
      <c r="B1582">
        <v>1</v>
      </c>
      <c r="C1582" t="s">
        <v>97</v>
      </c>
      <c r="E1582">
        <v>1987</v>
      </c>
      <c r="G1582" t="s">
        <v>9</v>
      </c>
      <c r="H1582" t="s">
        <v>67</v>
      </c>
    </row>
    <row r="1583" spans="1:8" x14ac:dyDescent="0.3">
      <c r="A1583" t="s">
        <v>98</v>
      </c>
      <c r="B1583">
        <v>1</v>
      </c>
      <c r="C1583" t="s">
        <v>97</v>
      </c>
      <c r="D1583">
        <v>14.1</v>
      </c>
      <c r="E1583">
        <v>1988</v>
      </c>
      <c r="G1583" t="s">
        <v>9</v>
      </c>
      <c r="H1583" t="s">
        <v>67</v>
      </c>
    </row>
    <row r="1584" spans="1:8" x14ac:dyDescent="0.3">
      <c r="A1584" t="s">
        <v>98</v>
      </c>
      <c r="B1584">
        <v>1</v>
      </c>
      <c r="C1584" t="s">
        <v>97</v>
      </c>
      <c r="E1584">
        <v>1989</v>
      </c>
      <c r="G1584" t="s">
        <v>9</v>
      </c>
      <c r="H1584" t="s">
        <v>67</v>
      </c>
    </row>
    <row r="1585" spans="1:8" x14ac:dyDescent="0.3">
      <c r="A1585" t="s">
        <v>98</v>
      </c>
      <c r="B1585">
        <v>1</v>
      </c>
      <c r="C1585" t="s">
        <v>97</v>
      </c>
      <c r="E1585">
        <v>1990</v>
      </c>
      <c r="G1585" t="s">
        <v>9</v>
      </c>
      <c r="H1585" t="s">
        <v>67</v>
      </c>
    </row>
    <row r="1586" spans="1:8" x14ac:dyDescent="0.3">
      <c r="A1586" t="s">
        <v>98</v>
      </c>
      <c r="B1586">
        <v>1</v>
      </c>
      <c r="C1586" t="s">
        <v>97</v>
      </c>
      <c r="E1586">
        <v>1991</v>
      </c>
      <c r="G1586" t="s">
        <v>9</v>
      </c>
      <c r="H1586" t="s">
        <v>67</v>
      </c>
    </row>
    <row r="1587" spans="1:8" x14ac:dyDescent="0.3">
      <c r="A1587" t="s">
        <v>98</v>
      </c>
      <c r="B1587">
        <v>1</v>
      </c>
      <c r="C1587" t="s">
        <v>97</v>
      </c>
      <c r="E1587">
        <v>1992</v>
      </c>
      <c r="G1587" t="s">
        <v>9</v>
      </c>
      <c r="H1587" t="s">
        <v>67</v>
      </c>
    </row>
    <row r="1588" spans="1:8" x14ac:dyDescent="0.3">
      <c r="A1588" t="s">
        <v>98</v>
      </c>
      <c r="B1588">
        <v>1</v>
      </c>
      <c r="C1588" t="s">
        <v>97</v>
      </c>
      <c r="E1588">
        <v>1993</v>
      </c>
      <c r="G1588" t="s">
        <v>9</v>
      </c>
      <c r="H1588" t="s">
        <v>67</v>
      </c>
    </row>
    <row r="1589" spans="1:8" x14ac:dyDescent="0.3">
      <c r="A1589" t="s">
        <v>98</v>
      </c>
      <c r="B1589">
        <v>1</v>
      </c>
      <c r="C1589" t="s">
        <v>97</v>
      </c>
      <c r="E1589">
        <v>1994</v>
      </c>
      <c r="G1589" t="s">
        <v>9</v>
      </c>
      <c r="H1589" t="s">
        <v>67</v>
      </c>
    </row>
    <row r="1590" spans="1:8" x14ac:dyDescent="0.3">
      <c r="A1590" t="s">
        <v>98</v>
      </c>
      <c r="B1590">
        <v>1</v>
      </c>
      <c r="C1590" t="s">
        <v>97</v>
      </c>
      <c r="D1590">
        <v>6.9</v>
      </c>
      <c r="E1590">
        <v>1995</v>
      </c>
      <c r="G1590" t="s">
        <v>9</v>
      </c>
      <c r="H1590" t="s">
        <v>67</v>
      </c>
    </row>
    <row r="1591" spans="1:8" x14ac:dyDescent="0.3">
      <c r="A1591" t="s">
        <v>98</v>
      </c>
      <c r="B1591">
        <v>1</v>
      </c>
      <c r="C1591" t="s">
        <v>97</v>
      </c>
      <c r="E1591">
        <v>1996</v>
      </c>
      <c r="G1591" t="s">
        <v>9</v>
      </c>
      <c r="H1591" t="s">
        <v>67</v>
      </c>
    </row>
    <row r="1592" spans="1:8" x14ac:dyDescent="0.3">
      <c r="A1592" t="s">
        <v>98</v>
      </c>
      <c r="B1592">
        <v>1</v>
      </c>
      <c r="C1592" t="s">
        <v>97</v>
      </c>
      <c r="E1592">
        <v>1997</v>
      </c>
      <c r="G1592" t="s">
        <v>9</v>
      </c>
      <c r="H1592" t="s">
        <v>67</v>
      </c>
    </row>
    <row r="1593" spans="1:8" x14ac:dyDescent="0.3">
      <c r="A1593" t="s">
        <v>98</v>
      </c>
      <c r="B1593">
        <v>1</v>
      </c>
      <c r="C1593" t="s">
        <v>97</v>
      </c>
      <c r="E1593">
        <v>1998</v>
      </c>
      <c r="G1593" t="s">
        <v>9</v>
      </c>
      <c r="H1593" t="s">
        <v>67</v>
      </c>
    </row>
    <row r="1594" spans="1:8" x14ac:dyDescent="0.3">
      <c r="A1594" t="s">
        <v>98</v>
      </c>
      <c r="B1594">
        <v>1</v>
      </c>
      <c r="C1594" t="s">
        <v>97</v>
      </c>
      <c r="E1594">
        <v>1999</v>
      </c>
      <c r="G1594" t="s">
        <v>9</v>
      </c>
      <c r="H1594" t="s">
        <v>67</v>
      </c>
    </row>
    <row r="1595" spans="1:8" x14ac:dyDescent="0.3">
      <c r="A1595" t="s">
        <v>98</v>
      </c>
      <c r="B1595">
        <v>1</v>
      </c>
      <c r="C1595" t="s">
        <v>97</v>
      </c>
      <c r="E1595">
        <v>2000</v>
      </c>
      <c r="G1595" t="s">
        <v>9</v>
      </c>
      <c r="H1595" t="s">
        <v>67</v>
      </c>
    </row>
    <row r="1596" spans="1:8" x14ac:dyDescent="0.3">
      <c r="A1596" t="s">
        <v>98</v>
      </c>
      <c r="B1596">
        <v>1</v>
      </c>
      <c r="C1596" t="s">
        <v>97</v>
      </c>
      <c r="D1596">
        <v>2.8</v>
      </c>
      <c r="E1596">
        <v>2001</v>
      </c>
      <c r="G1596" t="s">
        <v>9</v>
      </c>
      <c r="H1596" t="s">
        <v>67</v>
      </c>
    </row>
    <row r="1597" spans="1:8" x14ac:dyDescent="0.3">
      <c r="A1597" t="s">
        <v>98</v>
      </c>
      <c r="B1597">
        <v>1</v>
      </c>
      <c r="C1597" t="s">
        <v>97</v>
      </c>
      <c r="E1597">
        <v>2002</v>
      </c>
      <c r="G1597" t="s">
        <v>9</v>
      </c>
      <c r="H1597" t="s">
        <v>67</v>
      </c>
    </row>
    <row r="1598" spans="1:8" x14ac:dyDescent="0.3">
      <c r="A1598" t="s">
        <v>98</v>
      </c>
      <c r="B1598">
        <v>1</v>
      </c>
      <c r="C1598" t="s">
        <v>97</v>
      </c>
      <c r="E1598">
        <v>2003</v>
      </c>
      <c r="G1598" t="s">
        <v>9</v>
      </c>
      <c r="H1598" t="s">
        <v>67</v>
      </c>
    </row>
    <row r="1599" spans="1:8" x14ac:dyDescent="0.3">
      <c r="A1599" t="s">
        <v>98</v>
      </c>
      <c r="B1599">
        <v>1</v>
      </c>
      <c r="C1599" t="s">
        <v>97</v>
      </c>
      <c r="E1599">
        <v>2004</v>
      </c>
      <c r="G1599" t="s">
        <v>9</v>
      </c>
      <c r="H1599" t="s">
        <v>67</v>
      </c>
    </row>
    <row r="1600" spans="1:8" x14ac:dyDescent="0.3">
      <c r="A1600" t="s">
        <v>98</v>
      </c>
      <c r="B1600">
        <v>1</v>
      </c>
      <c r="C1600" t="s">
        <v>97</v>
      </c>
      <c r="E1600">
        <v>2005</v>
      </c>
      <c r="G1600" t="s">
        <v>9</v>
      </c>
      <c r="H1600" t="s">
        <v>67</v>
      </c>
    </row>
    <row r="1601" spans="1:8" x14ac:dyDescent="0.3">
      <c r="A1601" t="s">
        <v>98</v>
      </c>
      <c r="B1601">
        <v>1</v>
      </c>
      <c r="C1601" t="s">
        <v>97</v>
      </c>
      <c r="D1601">
        <v>2.5</v>
      </c>
      <c r="E1601">
        <v>2006</v>
      </c>
      <c r="G1601" t="s">
        <v>9</v>
      </c>
      <c r="H1601" t="s">
        <v>67</v>
      </c>
    </row>
    <row r="1602" spans="1:8" x14ac:dyDescent="0.3">
      <c r="A1602" t="s">
        <v>98</v>
      </c>
      <c r="B1602">
        <v>1</v>
      </c>
      <c r="C1602" t="s">
        <v>97</v>
      </c>
      <c r="D1602">
        <v>1.4</v>
      </c>
      <c r="E1602">
        <v>2007</v>
      </c>
      <c r="G1602" t="s">
        <v>9</v>
      </c>
      <c r="H1602" t="s">
        <v>67</v>
      </c>
    </row>
    <row r="1603" spans="1:8" x14ac:dyDescent="0.3">
      <c r="A1603" t="s">
        <v>98</v>
      </c>
      <c r="B1603">
        <v>1</v>
      </c>
      <c r="C1603" t="s">
        <v>97</v>
      </c>
      <c r="D1603">
        <v>4.5</v>
      </c>
      <c r="E1603">
        <v>2008</v>
      </c>
      <c r="G1603" t="s">
        <v>9</v>
      </c>
      <c r="H1603" t="s">
        <v>67</v>
      </c>
    </row>
    <row r="1604" spans="1:8" x14ac:dyDescent="0.3">
      <c r="A1604" t="s">
        <v>98</v>
      </c>
      <c r="B1604">
        <v>1</v>
      </c>
      <c r="C1604" t="s">
        <v>97</v>
      </c>
      <c r="D1604">
        <v>1.6</v>
      </c>
      <c r="E1604">
        <v>2009</v>
      </c>
      <c r="G1604" t="s">
        <v>9</v>
      </c>
      <c r="H1604" t="s">
        <v>67</v>
      </c>
    </row>
    <row r="1605" spans="1:8" x14ac:dyDescent="0.3">
      <c r="A1605" t="s">
        <v>98</v>
      </c>
      <c r="B1605">
        <v>1</v>
      </c>
      <c r="C1605" t="s">
        <v>97</v>
      </c>
      <c r="D1605">
        <v>2.5</v>
      </c>
      <c r="E1605">
        <v>2010</v>
      </c>
      <c r="G1605" t="s">
        <v>9</v>
      </c>
      <c r="H1605" t="s">
        <v>67</v>
      </c>
    </row>
    <row r="1606" spans="1:8" x14ac:dyDescent="0.3">
      <c r="A1606" t="s">
        <v>98</v>
      </c>
      <c r="B1606">
        <v>1</v>
      </c>
      <c r="C1606" t="s">
        <v>97</v>
      </c>
      <c r="E1606">
        <v>2011</v>
      </c>
      <c r="G1606" t="s">
        <v>9</v>
      </c>
      <c r="H1606" t="s">
        <v>67</v>
      </c>
    </row>
    <row r="1607" spans="1:8" x14ac:dyDescent="0.3">
      <c r="A1607" t="s">
        <v>98</v>
      </c>
      <c r="B1607">
        <v>1</v>
      </c>
      <c r="C1607" t="s">
        <v>97</v>
      </c>
      <c r="E1607">
        <v>2012</v>
      </c>
      <c r="G1607" t="s">
        <v>9</v>
      </c>
      <c r="H1607" t="s">
        <v>67</v>
      </c>
    </row>
    <row r="1608" spans="1:8" x14ac:dyDescent="0.3">
      <c r="A1608" t="s">
        <v>98</v>
      </c>
      <c r="B1608">
        <v>1</v>
      </c>
      <c r="C1608" t="s">
        <v>97</v>
      </c>
      <c r="E1608">
        <v>2013</v>
      </c>
      <c r="G1608" t="s">
        <v>9</v>
      </c>
      <c r="H1608" t="s">
        <v>67</v>
      </c>
    </row>
    <row r="1609" spans="1:8" x14ac:dyDescent="0.3">
      <c r="A1609" t="s">
        <v>98</v>
      </c>
      <c r="B1609">
        <v>1</v>
      </c>
      <c r="C1609" t="s">
        <v>97</v>
      </c>
      <c r="D1609">
        <v>0.1</v>
      </c>
      <c r="E1609">
        <v>2014</v>
      </c>
      <c r="G1609" t="s">
        <v>9</v>
      </c>
      <c r="H1609" t="s">
        <v>67</v>
      </c>
    </row>
    <row r="1610" spans="1:8" x14ac:dyDescent="0.3">
      <c r="A1610" t="s">
        <v>99</v>
      </c>
      <c r="B1610">
        <v>1</v>
      </c>
      <c r="C1610" t="s">
        <v>100</v>
      </c>
      <c r="D1610">
        <v>3.8</v>
      </c>
      <c r="E1610">
        <v>1975</v>
      </c>
      <c r="G1610" t="s">
        <v>9</v>
      </c>
      <c r="H1610" t="s">
        <v>67</v>
      </c>
    </row>
    <row r="1611" spans="1:8" x14ac:dyDescent="0.3">
      <c r="A1611" t="s">
        <v>99</v>
      </c>
      <c r="B1611">
        <v>1</v>
      </c>
      <c r="C1611" t="s">
        <v>100</v>
      </c>
      <c r="E1611">
        <v>1976</v>
      </c>
      <c r="G1611" t="s">
        <v>9</v>
      </c>
      <c r="H1611" t="s">
        <v>67</v>
      </c>
    </row>
    <row r="1612" spans="1:8" x14ac:dyDescent="0.3">
      <c r="A1612" t="s">
        <v>99</v>
      </c>
      <c r="B1612">
        <v>1</v>
      </c>
      <c r="C1612" t="s">
        <v>100</v>
      </c>
      <c r="E1612">
        <v>1977</v>
      </c>
      <c r="G1612" t="s">
        <v>9</v>
      </c>
      <c r="H1612" t="s">
        <v>67</v>
      </c>
    </row>
    <row r="1613" spans="1:8" x14ac:dyDescent="0.3">
      <c r="A1613" t="s">
        <v>99</v>
      </c>
      <c r="B1613">
        <v>1</v>
      </c>
      <c r="C1613" t="s">
        <v>100</v>
      </c>
      <c r="E1613">
        <v>1978</v>
      </c>
      <c r="G1613" t="s">
        <v>9</v>
      </c>
      <c r="H1613" t="s">
        <v>67</v>
      </c>
    </row>
    <row r="1614" spans="1:8" x14ac:dyDescent="0.3">
      <c r="A1614" t="s">
        <v>99</v>
      </c>
      <c r="B1614">
        <v>1</v>
      </c>
      <c r="C1614" t="s">
        <v>100</v>
      </c>
      <c r="E1614">
        <v>1979</v>
      </c>
      <c r="G1614" t="s">
        <v>9</v>
      </c>
      <c r="H1614" t="s">
        <v>67</v>
      </c>
    </row>
    <row r="1615" spans="1:8" x14ac:dyDescent="0.3">
      <c r="A1615" t="s">
        <v>99</v>
      </c>
      <c r="B1615">
        <v>1</v>
      </c>
      <c r="C1615" t="s">
        <v>100</v>
      </c>
      <c r="D1615">
        <v>2.1</v>
      </c>
      <c r="E1615">
        <v>1980</v>
      </c>
      <c r="G1615" t="s">
        <v>9</v>
      </c>
      <c r="H1615" t="s">
        <v>67</v>
      </c>
    </row>
    <row r="1616" spans="1:8" x14ac:dyDescent="0.3">
      <c r="A1616" t="s">
        <v>99</v>
      </c>
      <c r="B1616">
        <v>1</v>
      </c>
      <c r="C1616" t="s">
        <v>100</v>
      </c>
      <c r="E1616">
        <v>1981</v>
      </c>
      <c r="G1616" t="s">
        <v>9</v>
      </c>
      <c r="H1616" t="s">
        <v>67</v>
      </c>
    </row>
    <row r="1617" spans="1:8" x14ac:dyDescent="0.3">
      <c r="A1617" t="s">
        <v>99</v>
      </c>
      <c r="B1617">
        <v>1</v>
      </c>
      <c r="C1617" t="s">
        <v>100</v>
      </c>
      <c r="E1617">
        <v>1982</v>
      </c>
      <c r="G1617" t="s">
        <v>9</v>
      </c>
      <c r="H1617" t="s">
        <v>67</v>
      </c>
    </row>
    <row r="1618" spans="1:8" x14ac:dyDescent="0.3">
      <c r="A1618" t="s">
        <v>99</v>
      </c>
      <c r="B1618">
        <v>1</v>
      </c>
      <c r="C1618" t="s">
        <v>100</v>
      </c>
      <c r="E1618">
        <v>1983</v>
      </c>
      <c r="G1618" t="s">
        <v>9</v>
      </c>
      <c r="H1618" t="s">
        <v>67</v>
      </c>
    </row>
    <row r="1619" spans="1:8" x14ac:dyDescent="0.3">
      <c r="A1619" t="s">
        <v>99</v>
      </c>
      <c r="B1619">
        <v>1</v>
      </c>
      <c r="C1619" t="s">
        <v>100</v>
      </c>
      <c r="E1619">
        <v>1984</v>
      </c>
      <c r="G1619" t="s">
        <v>9</v>
      </c>
      <c r="H1619" t="s">
        <v>67</v>
      </c>
    </row>
    <row r="1620" spans="1:8" x14ac:dyDescent="0.3">
      <c r="A1620" t="s">
        <v>99</v>
      </c>
      <c r="B1620">
        <v>1</v>
      </c>
      <c r="C1620" t="s">
        <v>100</v>
      </c>
      <c r="E1620">
        <v>1985</v>
      </c>
      <c r="G1620" t="s">
        <v>9</v>
      </c>
      <c r="H1620" t="s">
        <v>67</v>
      </c>
    </row>
    <row r="1621" spans="1:8" x14ac:dyDescent="0.3">
      <c r="A1621" t="s">
        <v>99</v>
      </c>
      <c r="B1621">
        <v>1</v>
      </c>
      <c r="C1621" t="s">
        <v>100</v>
      </c>
      <c r="E1621">
        <v>1986</v>
      </c>
      <c r="G1621" t="s">
        <v>9</v>
      </c>
      <c r="H1621" t="s">
        <v>67</v>
      </c>
    </row>
    <row r="1622" spans="1:8" x14ac:dyDescent="0.3">
      <c r="A1622" t="s">
        <v>99</v>
      </c>
      <c r="B1622">
        <v>1</v>
      </c>
      <c r="C1622" t="s">
        <v>100</v>
      </c>
      <c r="E1622">
        <v>1987</v>
      </c>
      <c r="G1622" t="s">
        <v>9</v>
      </c>
      <c r="H1622" t="s">
        <v>67</v>
      </c>
    </row>
    <row r="1623" spans="1:8" x14ac:dyDescent="0.3">
      <c r="A1623" t="s">
        <v>99</v>
      </c>
      <c r="B1623">
        <v>1</v>
      </c>
      <c r="C1623" t="s">
        <v>100</v>
      </c>
      <c r="D1623">
        <v>30.6</v>
      </c>
      <c r="E1623">
        <v>1988</v>
      </c>
      <c r="G1623" t="s">
        <v>9</v>
      </c>
      <c r="H1623" t="s">
        <v>67</v>
      </c>
    </row>
    <row r="1624" spans="1:8" x14ac:dyDescent="0.3">
      <c r="A1624" t="s">
        <v>99</v>
      </c>
      <c r="B1624">
        <v>1</v>
      </c>
      <c r="C1624" t="s">
        <v>100</v>
      </c>
      <c r="E1624">
        <v>1989</v>
      </c>
      <c r="G1624" t="s">
        <v>9</v>
      </c>
      <c r="H1624" t="s">
        <v>67</v>
      </c>
    </row>
    <row r="1625" spans="1:8" x14ac:dyDescent="0.3">
      <c r="A1625" t="s">
        <v>99</v>
      </c>
      <c r="B1625">
        <v>1</v>
      </c>
      <c r="C1625" t="s">
        <v>100</v>
      </c>
      <c r="E1625">
        <v>1990</v>
      </c>
      <c r="G1625" t="s">
        <v>9</v>
      </c>
      <c r="H1625" t="s">
        <v>67</v>
      </c>
    </row>
    <row r="1626" spans="1:8" x14ac:dyDescent="0.3">
      <c r="A1626" t="s">
        <v>99</v>
      </c>
      <c r="B1626">
        <v>1</v>
      </c>
      <c r="C1626" t="s">
        <v>100</v>
      </c>
      <c r="E1626">
        <v>1991</v>
      </c>
      <c r="G1626" t="s">
        <v>9</v>
      </c>
      <c r="H1626" t="s">
        <v>67</v>
      </c>
    </row>
    <row r="1627" spans="1:8" x14ac:dyDescent="0.3">
      <c r="A1627" t="s">
        <v>99</v>
      </c>
      <c r="B1627">
        <v>1</v>
      </c>
      <c r="C1627" t="s">
        <v>100</v>
      </c>
      <c r="E1627">
        <v>1992</v>
      </c>
      <c r="G1627" t="s">
        <v>9</v>
      </c>
      <c r="H1627" t="s">
        <v>67</v>
      </c>
    </row>
    <row r="1628" spans="1:8" x14ac:dyDescent="0.3">
      <c r="A1628" t="s">
        <v>99</v>
      </c>
      <c r="B1628">
        <v>1</v>
      </c>
      <c r="C1628" t="s">
        <v>100</v>
      </c>
      <c r="E1628">
        <v>1993</v>
      </c>
      <c r="G1628" t="s">
        <v>9</v>
      </c>
      <c r="H1628" t="s">
        <v>67</v>
      </c>
    </row>
    <row r="1629" spans="1:8" x14ac:dyDescent="0.3">
      <c r="A1629" t="s">
        <v>99</v>
      </c>
      <c r="B1629">
        <v>1</v>
      </c>
      <c r="C1629" t="s">
        <v>100</v>
      </c>
      <c r="D1629">
        <v>11.8</v>
      </c>
      <c r="E1629">
        <v>1994</v>
      </c>
      <c r="G1629" t="s">
        <v>9</v>
      </c>
      <c r="H1629" t="s">
        <v>67</v>
      </c>
    </row>
    <row r="1630" spans="1:8" x14ac:dyDescent="0.3">
      <c r="A1630" t="s">
        <v>99</v>
      </c>
      <c r="B1630">
        <v>1</v>
      </c>
      <c r="C1630" t="s">
        <v>100</v>
      </c>
      <c r="E1630">
        <v>1995</v>
      </c>
      <c r="G1630" t="s">
        <v>9</v>
      </c>
      <c r="H1630" t="s">
        <v>67</v>
      </c>
    </row>
    <row r="1631" spans="1:8" x14ac:dyDescent="0.3">
      <c r="A1631" t="s">
        <v>99</v>
      </c>
      <c r="B1631">
        <v>1</v>
      </c>
      <c r="C1631" t="s">
        <v>100</v>
      </c>
      <c r="E1631">
        <v>1996</v>
      </c>
      <c r="G1631" t="s">
        <v>9</v>
      </c>
      <c r="H1631" t="s">
        <v>67</v>
      </c>
    </row>
    <row r="1632" spans="1:8" x14ac:dyDescent="0.3">
      <c r="A1632" t="s">
        <v>99</v>
      </c>
      <c r="B1632">
        <v>1</v>
      </c>
      <c r="C1632" t="s">
        <v>100</v>
      </c>
      <c r="E1632">
        <v>1997</v>
      </c>
      <c r="G1632" t="s">
        <v>9</v>
      </c>
      <c r="H1632" t="s">
        <v>67</v>
      </c>
    </row>
    <row r="1633" spans="1:8" x14ac:dyDescent="0.3">
      <c r="A1633" t="s">
        <v>99</v>
      </c>
      <c r="B1633">
        <v>1</v>
      </c>
      <c r="C1633" t="s">
        <v>100</v>
      </c>
      <c r="E1633">
        <v>1998</v>
      </c>
      <c r="G1633" t="s">
        <v>9</v>
      </c>
      <c r="H1633" t="s">
        <v>67</v>
      </c>
    </row>
    <row r="1634" spans="1:8" x14ac:dyDescent="0.3">
      <c r="A1634" t="s">
        <v>99</v>
      </c>
      <c r="B1634">
        <v>1</v>
      </c>
      <c r="C1634" t="s">
        <v>100</v>
      </c>
      <c r="E1634">
        <v>1999</v>
      </c>
      <c r="G1634" t="s">
        <v>9</v>
      </c>
      <c r="H1634" t="s">
        <v>67</v>
      </c>
    </row>
    <row r="1635" spans="1:8" x14ac:dyDescent="0.3">
      <c r="A1635" t="s">
        <v>99</v>
      </c>
      <c r="B1635">
        <v>1</v>
      </c>
      <c r="C1635" t="s">
        <v>100</v>
      </c>
      <c r="E1635">
        <v>2000</v>
      </c>
      <c r="G1635" t="s">
        <v>9</v>
      </c>
      <c r="H1635" t="s">
        <v>67</v>
      </c>
    </row>
    <row r="1636" spans="1:8" x14ac:dyDescent="0.3">
      <c r="A1636" t="s">
        <v>99</v>
      </c>
      <c r="B1636">
        <v>1</v>
      </c>
      <c r="C1636" t="s">
        <v>100</v>
      </c>
      <c r="D1636">
        <v>2.9</v>
      </c>
      <c r="E1636">
        <v>2001</v>
      </c>
      <c r="G1636" t="s">
        <v>9</v>
      </c>
      <c r="H1636" t="s">
        <v>67</v>
      </c>
    </row>
    <row r="1637" spans="1:8" x14ac:dyDescent="0.3">
      <c r="A1637" t="s">
        <v>99</v>
      </c>
      <c r="B1637">
        <v>1</v>
      </c>
      <c r="C1637" t="s">
        <v>100</v>
      </c>
      <c r="D1637">
        <v>4.8</v>
      </c>
      <c r="E1637">
        <v>2002</v>
      </c>
      <c r="G1637" t="s">
        <v>9</v>
      </c>
      <c r="H1637" t="s">
        <v>67</v>
      </c>
    </row>
    <row r="1638" spans="1:8" x14ac:dyDescent="0.3">
      <c r="A1638" t="s">
        <v>99</v>
      </c>
      <c r="B1638">
        <v>1</v>
      </c>
      <c r="C1638" t="s">
        <v>100</v>
      </c>
      <c r="D1638">
        <v>10.7</v>
      </c>
      <c r="E1638">
        <v>2003</v>
      </c>
      <c r="G1638" t="s">
        <v>9</v>
      </c>
      <c r="H1638" t="s">
        <v>67</v>
      </c>
    </row>
    <row r="1639" spans="1:8" x14ac:dyDescent="0.3">
      <c r="A1639" t="s">
        <v>99</v>
      </c>
      <c r="B1639">
        <v>1</v>
      </c>
      <c r="C1639" t="s">
        <v>100</v>
      </c>
      <c r="D1639">
        <v>10.4</v>
      </c>
      <c r="E1639">
        <v>2004</v>
      </c>
      <c r="G1639" t="s">
        <v>9</v>
      </c>
      <c r="H1639" t="s">
        <v>67</v>
      </c>
    </row>
    <row r="1640" spans="1:8" x14ac:dyDescent="0.3">
      <c r="A1640" t="s">
        <v>99</v>
      </c>
      <c r="B1640">
        <v>1</v>
      </c>
      <c r="C1640" t="s">
        <v>100</v>
      </c>
      <c r="E1640">
        <v>2005</v>
      </c>
      <c r="G1640" t="s">
        <v>9</v>
      </c>
      <c r="H1640" t="s">
        <v>67</v>
      </c>
    </row>
    <row r="1641" spans="1:8" x14ac:dyDescent="0.3">
      <c r="A1641" t="s">
        <v>99</v>
      </c>
      <c r="B1641">
        <v>1</v>
      </c>
      <c r="C1641" t="s">
        <v>100</v>
      </c>
      <c r="D1641">
        <v>18.3</v>
      </c>
      <c r="E1641">
        <v>2006</v>
      </c>
      <c r="G1641" t="s">
        <v>9</v>
      </c>
      <c r="H1641" t="s">
        <v>67</v>
      </c>
    </row>
    <row r="1642" spans="1:8" x14ac:dyDescent="0.3">
      <c r="A1642" t="s">
        <v>99</v>
      </c>
      <c r="B1642">
        <v>1</v>
      </c>
      <c r="C1642" t="s">
        <v>100</v>
      </c>
      <c r="D1642">
        <v>4.8</v>
      </c>
      <c r="E1642">
        <v>2007</v>
      </c>
      <c r="G1642" t="s">
        <v>9</v>
      </c>
      <c r="H1642" t="s">
        <v>67</v>
      </c>
    </row>
    <row r="1643" spans="1:8" x14ac:dyDescent="0.3">
      <c r="A1643" t="s">
        <v>99</v>
      </c>
      <c r="B1643">
        <v>1</v>
      </c>
      <c r="C1643" t="s">
        <v>100</v>
      </c>
      <c r="D1643">
        <v>4.4000000000000004</v>
      </c>
      <c r="E1643">
        <v>2008</v>
      </c>
      <c r="G1643" t="s">
        <v>9</v>
      </c>
      <c r="H1643" t="s">
        <v>67</v>
      </c>
    </row>
    <row r="1644" spans="1:8" x14ac:dyDescent="0.3">
      <c r="A1644" t="s">
        <v>99</v>
      </c>
      <c r="B1644">
        <v>1</v>
      </c>
      <c r="C1644" t="s">
        <v>100</v>
      </c>
      <c r="D1644">
        <v>4.5</v>
      </c>
      <c r="E1644">
        <v>2009</v>
      </c>
      <c r="G1644" t="s">
        <v>9</v>
      </c>
      <c r="H1644" t="s">
        <v>67</v>
      </c>
    </row>
    <row r="1645" spans="1:8" x14ac:dyDescent="0.3">
      <c r="A1645" t="s">
        <v>99</v>
      </c>
      <c r="B1645">
        <v>1</v>
      </c>
      <c r="C1645" t="s">
        <v>100</v>
      </c>
      <c r="D1645">
        <v>14.8</v>
      </c>
      <c r="E1645">
        <v>2010</v>
      </c>
      <c r="G1645" t="s">
        <v>9</v>
      </c>
      <c r="H1645" t="s">
        <v>67</v>
      </c>
    </row>
    <row r="1646" spans="1:8" x14ac:dyDescent="0.3">
      <c r="A1646" t="s">
        <v>99</v>
      </c>
      <c r="B1646">
        <v>1</v>
      </c>
      <c r="C1646" t="s">
        <v>100</v>
      </c>
      <c r="E1646">
        <v>2011</v>
      </c>
      <c r="G1646" t="s">
        <v>9</v>
      </c>
      <c r="H1646" t="s">
        <v>67</v>
      </c>
    </row>
    <row r="1647" spans="1:8" x14ac:dyDescent="0.3">
      <c r="A1647" t="s">
        <v>99</v>
      </c>
      <c r="B1647">
        <v>1</v>
      </c>
      <c r="C1647" t="s">
        <v>100</v>
      </c>
      <c r="E1647">
        <v>2012</v>
      </c>
      <c r="G1647" t="s">
        <v>9</v>
      </c>
      <c r="H1647" t="s">
        <v>67</v>
      </c>
    </row>
    <row r="1648" spans="1:8" x14ac:dyDescent="0.3">
      <c r="A1648" t="s">
        <v>99</v>
      </c>
      <c r="B1648">
        <v>1</v>
      </c>
      <c r="C1648" t="s">
        <v>100</v>
      </c>
      <c r="E1648">
        <v>2013</v>
      </c>
      <c r="G1648" t="s">
        <v>9</v>
      </c>
      <c r="H1648" t="s">
        <v>67</v>
      </c>
    </row>
    <row r="1649" spans="1:8" x14ac:dyDescent="0.3">
      <c r="A1649" t="s">
        <v>99</v>
      </c>
      <c r="B1649">
        <v>1</v>
      </c>
      <c r="C1649" t="s">
        <v>100</v>
      </c>
      <c r="D1649">
        <v>2.7</v>
      </c>
      <c r="E1649">
        <v>2014</v>
      </c>
      <c r="G1649" t="s">
        <v>9</v>
      </c>
      <c r="H1649" t="s">
        <v>67</v>
      </c>
    </row>
    <row r="1650" spans="1:8" x14ac:dyDescent="0.3">
      <c r="A1650" t="s">
        <v>101</v>
      </c>
      <c r="B1650">
        <v>1</v>
      </c>
      <c r="C1650" t="s">
        <v>102</v>
      </c>
      <c r="D1650">
        <v>1.6</v>
      </c>
      <c r="E1650">
        <v>1975</v>
      </c>
      <c r="G1650" t="s">
        <v>9</v>
      </c>
      <c r="H1650" t="s">
        <v>67</v>
      </c>
    </row>
    <row r="1651" spans="1:8" x14ac:dyDescent="0.3">
      <c r="A1651" t="s">
        <v>101</v>
      </c>
      <c r="B1651">
        <v>1</v>
      </c>
      <c r="C1651" t="s">
        <v>102</v>
      </c>
      <c r="E1651">
        <v>1976</v>
      </c>
      <c r="G1651" t="s">
        <v>9</v>
      </c>
      <c r="H1651" t="s">
        <v>67</v>
      </c>
    </row>
    <row r="1652" spans="1:8" x14ac:dyDescent="0.3">
      <c r="A1652" t="s">
        <v>101</v>
      </c>
      <c r="B1652">
        <v>1</v>
      </c>
      <c r="C1652" t="s">
        <v>102</v>
      </c>
      <c r="E1652">
        <v>1977</v>
      </c>
      <c r="G1652" t="s">
        <v>9</v>
      </c>
      <c r="H1652" t="s">
        <v>67</v>
      </c>
    </row>
    <row r="1653" spans="1:8" x14ac:dyDescent="0.3">
      <c r="A1653" t="s">
        <v>101</v>
      </c>
      <c r="B1653">
        <v>1</v>
      </c>
      <c r="C1653" t="s">
        <v>102</v>
      </c>
      <c r="E1653">
        <v>1978</v>
      </c>
      <c r="G1653" t="s">
        <v>9</v>
      </c>
      <c r="H1653" t="s">
        <v>67</v>
      </c>
    </row>
    <row r="1654" spans="1:8" x14ac:dyDescent="0.3">
      <c r="A1654" t="s">
        <v>101</v>
      </c>
      <c r="B1654">
        <v>1</v>
      </c>
      <c r="C1654" t="s">
        <v>102</v>
      </c>
      <c r="E1654">
        <v>1979</v>
      </c>
      <c r="G1654" t="s">
        <v>9</v>
      </c>
      <c r="H1654" t="s">
        <v>67</v>
      </c>
    </row>
    <row r="1655" spans="1:8" x14ac:dyDescent="0.3">
      <c r="A1655" t="s">
        <v>101</v>
      </c>
      <c r="B1655">
        <v>1</v>
      </c>
      <c r="C1655" t="s">
        <v>102</v>
      </c>
      <c r="D1655">
        <v>1.3</v>
      </c>
      <c r="E1655">
        <v>1980</v>
      </c>
      <c r="G1655" t="s">
        <v>9</v>
      </c>
      <c r="H1655" t="s">
        <v>67</v>
      </c>
    </row>
    <row r="1656" spans="1:8" x14ac:dyDescent="0.3">
      <c r="A1656" t="s">
        <v>101</v>
      </c>
      <c r="B1656">
        <v>1</v>
      </c>
      <c r="C1656" t="s">
        <v>102</v>
      </c>
      <c r="E1656">
        <v>1981</v>
      </c>
      <c r="G1656" t="s">
        <v>9</v>
      </c>
      <c r="H1656" t="s">
        <v>67</v>
      </c>
    </row>
    <row r="1657" spans="1:8" x14ac:dyDescent="0.3">
      <c r="A1657" t="s">
        <v>101</v>
      </c>
      <c r="B1657">
        <v>1</v>
      </c>
      <c r="C1657" t="s">
        <v>102</v>
      </c>
      <c r="E1657">
        <v>1982</v>
      </c>
      <c r="G1657" t="s">
        <v>9</v>
      </c>
      <c r="H1657" t="s">
        <v>67</v>
      </c>
    </row>
    <row r="1658" spans="1:8" x14ac:dyDescent="0.3">
      <c r="A1658" t="s">
        <v>101</v>
      </c>
      <c r="B1658">
        <v>1</v>
      </c>
      <c r="C1658" t="s">
        <v>102</v>
      </c>
      <c r="E1658">
        <v>1983</v>
      </c>
      <c r="G1658" t="s">
        <v>9</v>
      </c>
      <c r="H1658" t="s">
        <v>67</v>
      </c>
    </row>
    <row r="1659" spans="1:8" x14ac:dyDescent="0.3">
      <c r="A1659" t="s">
        <v>101</v>
      </c>
      <c r="B1659">
        <v>1</v>
      </c>
      <c r="C1659" t="s">
        <v>102</v>
      </c>
      <c r="E1659">
        <v>1984</v>
      </c>
      <c r="G1659" t="s">
        <v>9</v>
      </c>
      <c r="H1659" t="s">
        <v>67</v>
      </c>
    </row>
    <row r="1660" spans="1:8" x14ac:dyDescent="0.3">
      <c r="A1660" t="s">
        <v>101</v>
      </c>
      <c r="B1660">
        <v>1</v>
      </c>
      <c r="C1660" t="s">
        <v>102</v>
      </c>
      <c r="E1660">
        <v>1985</v>
      </c>
      <c r="G1660" t="s">
        <v>9</v>
      </c>
      <c r="H1660" t="s">
        <v>67</v>
      </c>
    </row>
    <row r="1661" spans="1:8" x14ac:dyDescent="0.3">
      <c r="A1661" t="s">
        <v>101</v>
      </c>
      <c r="B1661">
        <v>1</v>
      </c>
      <c r="C1661" t="s">
        <v>102</v>
      </c>
      <c r="E1661">
        <v>1986</v>
      </c>
      <c r="G1661" t="s">
        <v>9</v>
      </c>
      <c r="H1661" t="s">
        <v>67</v>
      </c>
    </row>
    <row r="1662" spans="1:8" x14ac:dyDescent="0.3">
      <c r="A1662" t="s">
        <v>101</v>
      </c>
      <c r="B1662">
        <v>1</v>
      </c>
      <c r="C1662" t="s">
        <v>102</v>
      </c>
      <c r="E1662">
        <v>1987</v>
      </c>
      <c r="G1662" t="s">
        <v>9</v>
      </c>
      <c r="H1662" t="s">
        <v>67</v>
      </c>
    </row>
    <row r="1663" spans="1:8" x14ac:dyDescent="0.3">
      <c r="A1663" t="s">
        <v>101</v>
      </c>
      <c r="B1663">
        <v>1</v>
      </c>
      <c r="C1663" t="s">
        <v>102</v>
      </c>
      <c r="D1663">
        <v>5.9</v>
      </c>
      <c r="E1663">
        <v>1988</v>
      </c>
      <c r="G1663" t="s">
        <v>9</v>
      </c>
      <c r="H1663" t="s">
        <v>67</v>
      </c>
    </row>
    <row r="1664" spans="1:8" x14ac:dyDescent="0.3">
      <c r="A1664" t="s">
        <v>101</v>
      </c>
      <c r="B1664">
        <v>1</v>
      </c>
      <c r="C1664" t="s">
        <v>102</v>
      </c>
      <c r="E1664">
        <v>1989</v>
      </c>
      <c r="G1664" t="s">
        <v>9</v>
      </c>
      <c r="H1664" t="s">
        <v>67</v>
      </c>
    </row>
    <row r="1665" spans="1:8" x14ac:dyDescent="0.3">
      <c r="A1665" t="s">
        <v>101</v>
      </c>
      <c r="B1665">
        <v>1</v>
      </c>
      <c r="C1665" t="s">
        <v>102</v>
      </c>
      <c r="E1665">
        <v>1990</v>
      </c>
      <c r="G1665" t="s">
        <v>9</v>
      </c>
      <c r="H1665" t="s">
        <v>67</v>
      </c>
    </row>
    <row r="1666" spans="1:8" x14ac:dyDescent="0.3">
      <c r="A1666" t="s">
        <v>101</v>
      </c>
      <c r="B1666">
        <v>1</v>
      </c>
      <c r="C1666" t="s">
        <v>102</v>
      </c>
      <c r="E1666">
        <v>1991</v>
      </c>
      <c r="G1666" t="s">
        <v>9</v>
      </c>
      <c r="H1666" t="s">
        <v>67</v>
      </c>
    </row>
    <row r="1667" spans="1:8" x14ac:dyDescent="0.3">
      <c r="A1667" t="s">
        <v>101</v>
      </c>
      <c r="B1667">
        <v>1</v>
      </c>
      <c r="C1667" t="s">
        <v>102</v>
      </c>
      <c r="E1667">
        <v>1992</v>
      </c>
      <c r="G1667" t="s">
        <v>9</v>
      </c>
      <c r="H1667" t="s">
        <v>67</v>
      </c>
    </row>
    <row r="1668" spans="1:8" x14ac:dyDescent="0.3">
      <c r="A1668" t="s">
        <v>101</v>
      </c>
      <c r="B1668">
        <v>1</v>
      </c>
      <c r="C1668" t="s">
        <v>102</v>
      </c>
      <c r="E1668">
        <v>1993</v>
      </c>
      <c r="G1668" t="s">
        <v>9</v>
      </c>
      <c r="H1668" t="s">
        <v>67</v>
      </c>
    </row>
    <row r="1669" spans="1:8" x14ac:dyDescent="0.3">
      <c r="A1669" t="s">
        <v>101</v>
      </c>
      <c r="B1669">
        <v>1</v>
      </c>
      <c r="C1669" t="s">
        <v>102</v>
      </c>
      <c r="D1669">
        <v>10.7</v>
      </c>
      <c r="E1669">
        <v>1994</v>
      </c>
      <c r="G1669" t="s">
        <v>9</v>
      </c>
      <c r="H1669" t="s">
        <v>67</v>
      </c>
    </row>
    <row r="1670" spans="1:8" x14ac:dyDescent="0.3">
      <c r="A1670" t="s">
        <v>101</v>
      </c>
      <c r="B1670">
        <v>1</v>
      </c>
      <c r="C1670" t="s">
        <v>102</v>
      </c>
      <c r="E1670">
        <v>1995</v>
      </c>
      <c r="G1670" t="s">
        <v>9</v>
      </c>
      <c r="H1670" t="s">
        <v>67</v>
      </c>
    </row>
    <row r="1671" spans="1:8" x14ac:dyDescent="0.3">
      <c r="A1671" t="s">
        <v>101</v>
      </c>
      <c r="B1671">
        <v>1</v>
      </c>
      <c r="C1671" t="s">
        <v>102</v>
      </c>
      <c r="E1671">
        <v>1996</v>
      </c>
      <c r="G1671" t="s">
        <v>9</v>
      </c>
      <c r="H1671" t="s">
        <v>67</v>
      </c>
    </row>
    <row r="1672" spans="1:8" x14ac:dyDescent="0.3">
      <c r="A1672" t="s">
        <v>101</v>
      </c>
      <c r="B1672">
        <v>1</v>
      </c>
      <c r="C1672" t="s">
        <v>102</v>
      </c>
      <c r="E1672">
        <v>1997</v>
      </c>
      <c r="G1672" t="s">
        <v>9</v>
      </c>
      <c r="H1672" t="s">
        <v>67</v>
      </c>
    </row>
    <row r="1673" spans="1:8" x14ac:dyDescent="0.3">
      <c r="A1673" t="s">
        <v>101</v>
      </c>
      <c r="B1673">
        <v>1</v>
      </c>
      <c r="C1673" t="s">
        <v>102</v>
      </c>
      <c r="E1673">
        <v>1998</v>
      </c>
      <c r="G1673" t="s">
        <v>9</v>
      </c>
      <c r="H1673" t="s">
        <v>67</v>
      </c>
    </row>
    <row r="1674" spans="1:8" x14ac:dyDescent="0.3">
      <c r="A1674" t="s">
        <v>101</v>
      </c>
      <c r="B1674">
        <v>1</v>
      </c>
      <c r="C1674" t="s">
        <v>102</v>
      </c>
      <c r="E1674">
        <v>1999</v>
      </c>
      <c r="G1674" t="s">
        <v>9</v>
      </c>
      <c r="H1674" t="s">
        <v>67</v>
      </c>
    </row>
    <row r="1675" spans="1:8" x14ac:dyDescent="0.3">
      <c r="A1675" t="s">
        <v>101</v>
      </c>
      <c r="B1675">
        <v>1</v>
      </c>
      <c r="C1675" t="s">
        <v>102</v>
      </c>
      <c r="E1675">
        <v>2000</v>
      </c>
      <c r="G1675" t="s">
        <v>9</v>
      </c>
      <c r="H1675" t="s">
        <v>67</v>
      </c>
    </row>
    <row r="1676" spans="1:8" x14ac:dyDescent="0.3">
      <c r="A1676" t="s">
        <v>101</v>
      </c>
      <c r="B1676">
        <v>1</v>
      </c>
      <c r="C1676" t="s">
        <v>102</v>
      </c>
      <c r="D1676">
        <v>9.6</v>
      </c>
      <c r="E1676">
        <v>2001</v>
      </c>
      <c r="G1676" t="s">
        <v>9</v>
      </c>
      <c r="H1676" t="s">
        <v>67</v>
      </c>
    </row>
    <row r="1677" spans="1:8" x14ac:dyDescent="0.3">
      <c r="A1677" t="s">
        <v>101</v>
      </c>
      <c r="B1677">
        <v>1</v>
      </c>
      <c r="C1677" t="s">
        <v>102</v>
      </c>
      <c r="D1677">
        <v>14.9</v>
      </c>
      <c r="E1677">
        <v>2002</v>
      </c>
      <c r="G1677" t="s">
        <v>9</v>
      </c>
      <c r="H1677" t="s">
        <v>67</v>
      </c>
    </row>
    <row r="1678" spans="1:8" x14ac:dyDescent="0.3">
      <c r="A1678" t="s">
        <v>101</v>
      </c>
      <c r="B1678">
        <v>1</v>
      </c>
      <c r="C1678" t="s">
        <v>102</v>
      </c>
      <c r="E1678">
        <v>2003</v>
      </c>
      <c r="G1678" t="s">
        <v>9</v>
      </c>
      <c r="H1678" t="s">
        <v>67</v>
      </c>
    </row>
    <row r="1679" spans="1:8" x14ac:dyDescent="0.3">
      <c r="A1679" t="s">
        <v>101</v>
      </c>
      <c r="B1679">
        <v>1</v>
      </c>
      <c r="C1679" t="s">
        <v>102</v>
      </c>
      <c r="E1679">
        <v>2004</v>
      </c>
      <c r="G1679" t="s">
        <v>9</v>
      </c>
      <c r="H1679" t="s">
        <v>67</v>
      </c>
    </row>
    <row r="1680" spans="1:8" x14ac:dyDescent="0.3">
      <c r="A1680" t="s">
        <v>101</v>
      </c>
      <c r="B1680">
        <v>1</v>
      </c>
      <c r="C1680" t="s">
        <v>102</v>
      </c>
      <c r="E1680">
        <v>2005</v>
      </c>
      <c r="G1680" t="s">
        <v>9</v>
      </c>
      <c r="H1680" t="s">
        <v>67</v>
      </c>
    </row>
    <row r="1681" spans="1:8" x14ac:dyDescent="0.3">
      <c r="A1681" t="s">
        <v>101</v>
      </c>
      <c r="B1681">
        <v>1</v>
      </c>
      <c r="C1681" t="s">
        <v>102</v>
      </c>
      <c r="D1681">
        <v>27.7</v>
      </c>
      <c r="E1681">
        <v>2006</v>
      </c>
      <c r="G1681" t="s">
        <v>9</v>
      </c>
      <c r="H1681" t="s">
        <v>67</v>
      </c>
    </row>
    <row r="1682" spans="1:8" x14ac:dyDescent="0.3">
      <c r="A1682" t="s">
        <v>101</v>
      </c>
      <c r="B1682">
        <v>1</v>
      </c>
      <c r="C1682" t="s">
        <v>102</v>
      </c>
      <c r="D1682">
        <v>15.8</v>
      </c>
      <c r="E1682">
        <v>2007</v>
      </c>
      <c r="G1682" t="s">
        <v>9</v>
      </c>
      <c r="H1682" t="s">
        <v>67</v>
      </c>
    </row>
    <row r="1683" spans="1:8" x14ac:dyDescent="0.3">
      <c r="A1683" t="s">
        <v>101</v>
      </c>
      <c r="B1683">
        <v>1</v>
      </c>
      <c r="C1683" t="s">
        <v>102</v>
      </c>
      <c r="D1683">
        <v>7.2</v>
      </c>
      <c r="E1683">
        <v>2008</v>
      </c>
      <c r="G1683" t="s">
        <v>9</v>
      </c>
      <c r="H1683" t="s">
        <v>67</v>
      </c>
    </row>
    <row r="1684" spans="1:8" x14ac:dyDescent="0.3">
      <c r="A1684" t="s">
        <v>101</v>
      </c>
      <c r="B1684">
        <v>1</v>
      </c>
      <c r="C1684" t="s">
        <v>102</v>
      </c>
      <c r="E1684">
        <v>2009</v>
      </c>
      <c r="G1684" t="s">
        <v>9</v>
      </c>
      <c r="H1684" t="s">
        <v>67</v>
      </c>
    </row>
    <row r="1685" spans="1:8" x14ac:dyDescent="0.3">
      <c r="A1685" t="s">
        <v>101</v>
      </c>
      <c r="B1685">
        <v>1</v>
      </c>
      <c r="C1685" t="s">
        <v>102</v>
      </c>
      <c r="D1685">
        <v>16</v>
      </c>
      <c r="E1685">
        <v>2010</v>
      </c>
      <c r="G1685" t="s">
        <v>9</v>
      </c>
      <c r="H1685" t="s">
        <v>67</v>
      </c>
    </row>
    <row r="1686" spans="1:8" x14ac:dyDescent="0.3">
      <c r="A1686" t="s">
        <v>101</v>
      </c>
      <c r="B1686">
        <v>1</v>
      </c>
      <c r="C1686" t="s">
        <v>102</v>
      </c>
      <c r="E1686">
        <v>2011</v>
      </c>
      <c r="G1686" t="s">
        <v>9</v>
      </c>
      <c r="H1686" t="s">
        <v>67</v>
      </c>
    </row>
    <row r="1687" spans="1:8" x14ac:dyDescent="0.3">
      <c r="A1687" t="s">
        <v>101</v>
      </c>
      <c r="B1687">
        <v>1</v>
      </c>
      <c r="C1687" t="s">
        <v>102</v>
      </c>
      <c r="E1687">
        <v>2012</v>
      </c>
      <c r="G1687" t="s">
        <v>9</v>
      </c>
      <c r="H1687" t="s">
        <v>67</v>
      </c>
    </row>
    <row r="1688" spans="1:8" x14ac:dyDescent="0.3">
      <c r="A1688" t="s">
        <v>101</v>
      </c>
      <c r="B1688">
        <v>1</v>
      </c>
      <c r="C1688" t="s">
        <v>102</v>
      </c>
      <c r="E1688">
        <v>2013</v>
      </c>
      <c r="G1688" t="s">
        <v>9</v>
      </c>
      <c r="H1688" t="s">
        <v>67</v>
      </c>
    </row>
    <row r="1689" spans="1:8" x14ac:dyDescent="0.3">
      <c r="A1689" t="s">
        <v>101</v>
      </c>
      <c r="B1689">
        <v>1</v>
      </c>
      <c r="C1689" t="s">
        <v>102</v>
      </c>
      <c r="D1689">
        <v>7.8</v>
      </c>
      <c r="E1689">
        <v>2014</v>
      </c>
      <c r="G1689" t="s">
        <v>9</v>
      </c>
      <c r="H1689" t="s">
        <v>67</v>
      </c>
    </row>
    <row r="1690" spans="1:8" x14ac:dyDescent="0.3">
      <c r="A1690" t="s">
        <v>104</v>
      </c>
      <c r="B1690">
        <v>1</v>
      </c>
      <c r="C1690" t="s">
        <v>103</v>
      </c>
      <c r="D1690">
        <v>0</v>
      </c>
      <c r="E1690">
        <v>1975</v>
      </c>
      <c r="G1690" t="s">
        <v>9</v>
      </c>
      <c r="H1690" t="s">
        <v>67</v>
      </c>
    </row>
    <row r="1691" spans="1:8" x14ac:dyDescent="0.3">
      <c r="A1691" t="s">
        <v>104</v>
      </c>
      <c r="B1691">
        <v>1</v>
      </c>
      <c r="C1691" t="s">
        <v>103</v>
      </c>
      <c r="E1691">
        <v>1976</v>
      </c>
      <c r="G1691" t="s">
        <v>9</v>
      </c>
      <c r="H1691" t="s">
        <v>67</v>
      </c>
    </row>
    <row r="1692" spans="1:8" x14ac:dyDescent="0.3">
      <c r="A1692" t="s">
        <v>104</v>
      </c>
      <c r="B1692">
        <v>1</v>
      </c>
      <c r="C1692" t="s">
        <v>103</v>
      </c>
      <c r="E1692">
        <v>1977</v>
      </c>
      <c r="G1692" t="s">
        <v>9</v>
      </c>
      <c r="H1692" t="s">
        <v>67</v>
      </c>
    </row>
    <row r="1693" spans="1:8" x14ac:dyDescent="0.3">
      <c r="A1693" t="s">
        <v>104</v>
      </c>
      <c r="B1693">
        <v>1</v>
      </c>
      <c r="C1693" t="s">
        <v>103</v>
      </c>
      <c r="E1693">
        <v>1978</v>
      </c>
      <c r="G1693" t="s">
        <v>9</v>
      </c>
      <c r="H1693" t="s">
        <v>67</v>
      </c>
    </row>
    <row r="1694" spans="1:8" x14ac:dyDescent="0.3">
      <c r="A1694" t="s">
        <v>104</v>
      </c>
      <c r="B1694">
        <v>1</v>
      </c>
      <c r="C1694" t="s">
        <v>103</v>
      </c>
      <c r="E1694">
        <v>1979</v>
      </c>
      <c r="G1694" t="s">
        <v>9</v>
      </c>
      <c r="H1694" t="s">
        <v>67</v>
      </c>
    </row>
    <row r="1695" spans="1:8" x14ac:dyDescent="0.3">
      <c r="A1695" t="s">
        <v>104</v>
      </c>
      <c r="B1695">
        <v>1</v>
      </c>
      <c r="C1695" t="s">
        <v>103</v>
      </c>
      <c r="E1695">
        <v>1980</v>
      </c>
      <c r="G1695" t="s">
        <v>9</v>
      </c>
      <c r="H1695" t="s">
        <v>67</v>
      </c>
    </row>
    <row r="1696" spans="1:8" x14ac:dyDescent="0.3">
      <c r="A1696" t="s">
        <v>104</v>
      </c>
      <c r="B1696">
        <v>1</v>
      </c>
      <c r="C1696" t="s">
        <v>103</v>
      </c>
      <c r="E1696">
        <v>1981</v>
      </c>
      <c r="G1696" t="s">
        <v>9</v>
      </c>
      <c r="H1696" t="s">
        <v>67</v>
      </c>
    </row>
    <row r="1697" spans="1:8" x14ac:dyDescent="0.3">
      <c r="A1697" t="s">
        <v>104</v>
      </c>
      <c r="B1697">
        <v>1</v>
      </c>
      <c r="C1697" t="s">
        <v>103</v>
      </c>
      <c r="E1697">
        <v>1982</v>
      </c>
      <c r="G1697" t="s">
        <v>9</v>
      </c>
      <c r="H1697" t="s">
        <v>67</v>
      </c>
    </row>
    <row r="1698" spans="1:8" x14ac:dyDescent="0.3">
      <c r="A1698" t="s">
        <v>104</v>
      </c>
      <c r="B1698">
        <v>1</v>
      </c>
      <c r="C1698" t="s">
        <v>103</v>
      </c>
      <c r="D1698">
        <v>0</v>
      </c>
      <c r="E1698">
        <v>1983</v>
      </c>
      <c r="G1698" t="s">
        <v>9</v>
      </c>
      <c r="H1698" t="s">
        <v>67</v>
      </c>
    </row>
    <row r="1699" spans="1:8" x14ac:dyDescent="0.3">
      <c r="A1699" t="s">
        <v>104</v>
      </c>
      <c r="B1699">
        <v>1</v>
      </c>
      <c r="C1699" t="s">
        <v>103</v>
      </c>
      <c r="D1699">
        <v>0</v>
      </c>
      <c r="E1699">
        <v>1984</v>
      </c>
      <c r="G1699" t="s">
        <v>9</v>
      </c>
      <c r="H1699" t="s">
        <v>67</v>
      </c>
    </row>
    <row r="1700" spans="1:8" x14ac:dyDescent="0.3">
      <c r="A1700" t="s">
        <v>104</v>
      </c>
      <c r="B1700">
        <v>1</v>
      </c>
      <c r="C1700" t="s">
        <v>103</v>
      </c>
      <c r="E1700">
        <v>1985</v>
      </c>
      <c r="G1700" t="s">
        <v>9</v>
      </c>
      <c r="H1700" t="s">
        <v>67</v>
      </c>
    </row>
    <row r="1701" spans="1:8" x14ac:dyDescent="0.3">
      <c r="A1701" t="s">
        <v>104</v>
      </c>
      <c r="B1701">
        <v>1</v>
      </c>
      <c r="C1701" t="s">
        <v>103</v>
      </c>
      <c r="E1701">
        <v>1986</v>
      </c>
      <c r="G1701" t="s">
        <v>9</v>
      </c>
      <c r="H1701" t="s">
        <v>67</v>
      </c>
    </row>
    <row r="1702" spans="1:8" x14ac:dyDescent="0.3">
      <c r="A1702" t="s">
        <v>104</v>
      </c>
      <c r="B1702">
        <v>1</v>
      </c>
      <c r="C1702" t="s">
        <v>103</v>
      </c>
      <c r="E1702">
        <v>1987</v>
      </c>
      <c r="G1702" t="s">
        <v>9</v>
      </c>
      <c r="H1702" t="s">
        <v>67</v>
      </c>
    </row>
    <row r="1703" spans="1:8" x14ac:dyDescent="0.3">
      <c r="A1703" t="s">
        <v>104</v>
      </c>
      <c r="B1703">
        <v>1</v>
      </c>
      <c r="C1703" t="s">
        <v>103</v>
      </c>
      <c r="E1703">
        <v>1988</v>
      </c>
      <c r="G1703" t="s">
        <v>9</v>
      </c>
      <c r="H1703" t="s">
        <v>67</v>
      </c>
    </row>
    <row r="1704" spans="1:8" x14ac:dyDescent="0.3">
      <c r="A1704" t="s">
        <v>104</v>
      </c>
      <c r="B1704">
        <v>1</v>
      </c>
      <c r="C1704" t="s">
        <v>103</v>
      </c>
      <c r="E1704">
        <v>1989</v>
      </c>
      <c r="G1704" t="s">
        <v>9</v>
      </c>
      <c r="H1704" t="s">
        <v>67</v>
      </c>
    </row>
    <row r="1705" spans="1:8" x14ac:dyDescent="0.3">
      <c r="A1705" t="s">
        <v>104</v>
      </c>
      <c r="B1705">
        <v>1</v>
      </c>
      <c r="C1705" t="s">
        <v>103</v>
      </c>
      <c r="E1705">
        <v>1990</v>
      </c>
      <c r="G1705" t="s">
        <v>9</v>
      </c>
      <c r="H1705" t="s">
        <v>67</v>
      </c>
    </row>
    <row r="1706" spans="1:8" x14ac:dyDescent="0.3">
      <c r="A1706" t="s">
        <v>104</v>
      </c>
      <c r="B1706">
        <v>1</v>
      </c>
      <c r="C1706" t="s">
        <v>103</v>
      </c>
      <c r="E1706">
        <v>1991</v>
      </c>
      <c r="G1706" t="s">
        <v>9</v>
      </c>
      <c r="H1706" t="s">
        <v>67</v>
      </c>
    </row>
    <row r="1707" spans="1:8" x14ac:dyDescent="0.3">
      <c r="A1707" t="s">
        <v>104</v>
      </c>
      <c r="B1707">
        <v>1</v>
      </c>
      <c r="C1707" t="s">
        <v>103</v>
      </c>
      <c r="E1707">
        <v>1992</v>
      </c>
      <c r="G1707" t="s">
        <v>9</v>
      </c>
      <c r="H1707" t="s">
        <v>67</v>
      </c>
    </row>
    <row r="1708" spans="1:8" x14ac:dyDescent="0.3">
      <c r="A1708" t="s">
        <v>104</v>
      </c>
      <c r="B1708">
        <v>1</v>
      </c>
      <c r="C1708" t="s">
        <v>103</v>
      </c>
      <c r="E1708">
        <v>1993</v>
      </c>
      <c r="G1708" t="s">
        <v>9</v>
      </c>
      <c r="H1708" t="s">
        <v>67</v>
      </c>
    </row>
    <row r="1709" spans="1:8" x14ac:dyDescent="0.3">
      <c r="A1709" t="s">
        <v>104</v>
      </c>
      <c r="B1709">
        <v>1</v>
      </c>
      <c r="C1709" t="s">
        <v>103</v>
      </c>
      <c r="D1709">
        <v>10.1</v>
      </c>
      <c r="E1709">
        <v>1994</v>
      </c>
      <c r="G1709" t="s">
        <v>9</v>
      </c>
      <c r="H1709" t="s">
        <v>67</v>
      </c>
    </row>
    <row r="1710" spans="1:8" x14ac:dyDescent="0.3">
      <c r="A1710" t="s">
        <v>104</v>
      </c>
      <c r="B1710">
        <v>1</v>
      </c>
      <c r="C1710" t="s">
        <v>103</v>
      </c>
      <c r="D1710">
        <v>10.3</v>
      </c>
      <c r="E1710">
        <v>1995</v>
      </c>
      <c r="G1710" t="s">
        <v>9</v>
      </c>
      <c r="H1710" t="s">
        <v>67</v>
      </c>
    </row>
    <row r="1711" spans="1:8" x14ac:dyDescent="0.3">
      <c r="A1711" t="s">
        <v>104</v>
      </c>
      <c r="B1711">
        <v>1</v>
      </c>
      <c r="C1711" t="s">
        <v>103</v>
      </c>
      <c r="E1711">
        <v>1996</v>
      </c>
      <c r="G1711" t="s">
        <v>9</v>
      </c>
      <c r="H1711" t="s">
        <v>67</v>
      </c>
    </row>
    <row r="1712" spans="1:8" x14ac:dyDescent="0.3">
      <c r="A1712" t="s">
        <v>104</v>
      </c>
      <c r="B1712">
        <v>1</v>
      </c>
      <c r="C1712" t="s">
        <v>103</v>
      </c>
      <c r="E1712">
        <v>1997</v>
      </c>
      <c r="G1712" t="s">
        <v>9</v>
      </c>
      <c r="H1712" t="s">
        <v>67</v>
      </c>
    </row>
    <row r="1713" spans="1:8" x14ac:dyDescent="0.3">
      <c r="A1713" t="s">
        <v>104</v>
      </c>
      <c r="B1713">
        <v>1</v>
      </c>
      <c r="C1713" t="s">
        <v>103</v>
      </c>
      <c r="E1713">
        <v>1998</v>
      </c>
      <c r="G1713" t="s">
        <v>9</v>
      </c>
      <c r="H1713" t="s">
        <v>67</v>
      </c>
    </row>
    <row r="1714" spans="1:8" x14ac:dyDescent="0.3">
      <c r="A1714" t="s">
        <v>104</v>
      </c>
      <c r="B1714">
        <v>1</v>
      </c>
      <c r="C1714" t="s">
        <v>103</v>
      </c>
      <c r="E1714">
        <v>1999</v>
      </c>
      <c r="G1714" t="s">
        <v>9</v>
      </c>
      <c r="H1714" t="s">
        <v>67</v>
      </c>
    </row>
    <row r="1715" spans="1:8" x14ac:dyDescent="0.3">
      <c r="A1715" t="s">
        <v>104</v>
      </c>
      <c r="B1715">
        <v>1</v>
      </c>
      <c r="C1715" t="s">
        <v>103</v>
      </c>
      <c r="E1715">
        <v>2000</v>
      </c>
      <c r="G1715" t="s">
        <v>9</v>
      </c>
      <c r="H1715" t="s">
        <v>67</v>
      </c>
    </row>
    <row r="1716" spans="1:8" x14ac:dyDescent="0.3">
      <c r="A1716" t="s">
        <v>104</v>
      </c>
      <c r="B1716">
        <v>1</v>
      </c>
      <c r="C1716" t="s">
        <v>103</v>
      </c>
      <c r="E1716">
        <v>2001</v>
      </c>
      <c r="G1716" t="s">
        <v>9</v>
      </c>
      <c r="H1716" t="s">
        <v>67</v>
      </c>
    </row>
    <row r="1717" spans="1:8" x14ac:dyDescent="0.3">
      <c r="A1717" t="s">
        <v>104</v>
      </c>
      <c r="B1717">
        <v>1</v>
      </c>
      <c r="C1717" t="s">
        <v>103</v>
      </c>
      <c r="E1717">
        <v>2002</v>
      </c>
      <c r="G1717" t="s">
        <v>9</v>
      </c>
      <c r="H1717" t="s">
        <v>67</v>
      </c>
    </row>
    <row r="1718" spans="1:8" x14ac:dyDescent="0.3">
      <c r="A1718" t="s">
        <v>104</v>
      </c>
      <c r="B1718">
        <v>1</v>
      </c>
      <c r="C1718" t="s">
        <v>103</v>
      </c>
      <c r="E1718">
        <v>2003</v>
      </c>
      <c r="G1718" t="s">
        <v>9</v>
      </c>
      <c r="H1718" t="s">
        <v>67</v>
      </c>
    </row>
    <row r="1719" spans="1:8" x14ac:dyDescent="0.3">
      <c r="A1719" t="s">
        <v>104</v>
      </c>
      <c r="B1719">
        <v>1</v>
      </c>
      <c r="C1719" t="s">
        <v>103</v>
      </c>
      <c r="D1719">
        <v>26.5</v>
      </c>
      <c r="E1719">
        <v>2004</v>
      </c>
      <c r="G1719" t="s">
        <v>9</v>
      </c>
      <c r="H1719" t="s">
        <v>67</v>
      </c>
    </row>
    <row r="1720" spans="1:8" x14ac:dyDescent="0.3">
      <c r="A1720" t="s">
        <v>104</v>
      </c>
      <c r="B1720">
        <v>1</v>
      </c>
      <c r="C1720" t="s">
        <v>103</v>
      </c>
      <c r="E1720">
        <v>2005</v>
      </c>
      <c r="G1720" t="s">
        <v>9</v>
      </c>
      <c r="H1720" t="s">
        <v>67</v>
      </c>
    </row>
    <row r="1721" spans="1:8" x14ac:dyDescent="0.3">
      <c r="A1721" t="s">
        <v>104</v>
      </c>
      <c r="B1721">
        <v>1</v>
      </c>
      <c r="C1721" t="s">
        <v>103</v>
      </c>
      <c r="D1721">
        <v>24.6</v>
      </c>
      <c r="E1721">
        <v>2006</v>
      </c>
      <c r="G1721" t="s">
        <v>9</v>
      </c>
      <c r="H1721" t="s">
        <v>67</v>
      </c>
    </row>
    <row r="1722" spans="1:8" x14ac:dyDescent="0.3">
      <c r="A1722" t="s">
        <v>104</v>
      </c>
      <c r="B1722">
        <v>1</v>
      </c>
      <c r="C1722" t="s">
        <v>103</v>
      </c>
      <c r="E1722">
        <v>2007</v>
      </c>
      <c r="G1722" t="s">
        <v>9</v>
      </c>
      <c r="H1722" t="s">
        <v>67</v>
      </c>
    </row>
    <row r="1723" spans="1:8" x14ac:dyDescent="0.3">
      <c r="A1723" t="s">
        <v>104</v>
      </c>
      <c r="B1723">
        <v>1</v>
      </c>
      <c r="C1723" t="s">
        <v>103</v>
      </c>
      <c r="D1723">
        <v>26.5</v>
      </c>
      <c r="E1723">
        <v>2008</v>
      </c>
      <c r="G1723" t="s">
        <v>9</v>
      </c>
      <c r="H1723" t="s">
        <v>67</v>
      </c>
    </row>
    <row r="1724" spans="1:8" x14ac:dyDescent="0.3">
      <c r="A1724" t="s">
        <v>104</v>
      </c>
      <c r="B1724">
        <v>1</v>
      </c>
      <c r="C1724" t="s">
        <v>103</v>
      </c>
      <c r="E1724">
        <v>2009</v>
      </c>
      <c r="G1724" t="s">
        <v>9</v>
      </c>
      <c r="H1724" t="s">
        <v>67</v>
      </c>
    </row>
    <row r="1725" spans="1:8" x14ac:dyDescent="0.3">
      <c r="A1725" t="s">
        <v>104</v>
      </c>
      <c r="B1725">
        <v>1</v>
      </c>
      <c r="C1725" t="s">
        <v>103</v>
      </c>
      <c r="D1725">
        <v>25.1</v>
      </c>
      <c r="E1725">
        <v>2010</v>
      </c>
      <c r="G1725" t="s">
        <v>9</v>
      </c>
      <c r="H1725" t="s">
        <v>67</v>
      </c>
    </row>
    <row r="1726" spans="1:8" x14ac:dyDescent="0.3">
      <c r="A1726" t="s">
        <v>104</v>
      </c>
      <c r="B1726">
        <v>1</v>
      </c>
      <c r="C1726" t="s">
        <v>103</v>
      </c>
      <c r="E1726">
        <v>2011</v>
      </c>
      <c r="G1726" t="s">
        <v>9</v>
      </c>
      <c r="H1726" t="s">
        <v>67</v>
      </c>
    </row>
    <row r="1727" spans="1:8" x14ac:dyDescent="0.3">
      <c r="A1727" t="s">
        <v>104</v>
      </c>
      <c r="B1727">
        <v>1</v>
      </c>
      <c r="C1727" t="s">
        <v>103</v>
      </c>
      <c r="E1727">
        <v>2012</v>
      </c>
      <c r="G1727" t="s">
        <v>9</v>
      </c>
      <c r="H1727" t="s">
        <v>67</v>
      </c>
    </row>
    <row r="1728" spans="1:8" x14ac:dyDescent="0.3">
      <c r="A1728" t="s">
        <v>104</v>
      </c>
      <c r="B1728">
        <v>1</v>
      </c>
      <c r="C1728" t="s">
        <v>103</v>
      </c>
      <c r="E1728">
        <v>2013</v>
      </c>
      <c r="G1728" t="s">
        <v>9</v>
      </c>
      <c r="H1728" t="s">
        <v>67</v>
      </c>
    </row>
    <row r="1729" spans="1:8" x14ac:dyDescent="0.3">
      <c r="A1729" t="s">
        <v>104</v>
      </c>
      <c r="B1729">
        <v>1</v>
      </c>
      <c r="C1729" t="s">
        <v>103</v>
      </c>
      <c r="E1729">
        <v>2014</v>
      </c>
      <c r="G1729" t="s">
        <v>9</v>
      </c>
      <c r="H1729" t="s">
        <v>67</v>
      </c>
    </row>
    <row r="1730" spans="1:8" x14ac:dyDescent="0.3">
      <c r="A1730" t="s">
        <v>104</v>
      </c>
      <c r="B1730">
        <v>1</v>
      </c>
      <c r="C1730" t="s">
        <v>103</v>
      </c>
      <c r="E1730">
        <v>2015</v>
      </c>
      <c r="G1730" t="s">
        <v>9</v>
      </c>
      <c r="H1730" t="s">
        <v>67</v>
      </c>
    </row>
    <row r="1731" spans="1:8" x14ac:dyDescent="0.3">
      <c r="A1731" t="s">
        <v>104</v>
      </c>
      <c r="B1731">
        <v>1</v>
      </c>
      <c r="C1731" t="s">
        <v>103</v>
      </c>
      <c r="E1731">
        <v>2016</v>
      </c>
      <c r="G1731" t="s">
        <v>9</v>
      </c>
      <c r="H1731" t="s">
        <v>67</v>
      </c>
    </row>
    <row r="1732" spans="1:8" x14ac:dyDescent="0.3">
      <c r="A1732" t="s">
        <v>104</v>
      </c>
      <c r="B1732">
        <v>1</v>
      </c>
      <c r="C1732" t="s">
        <v>103</v>
      </c>
      <c r="D1732">
        <v>14.8</v>
      </c>
      <c r="E1732">
        <v>2017</v>
      </c>
      <c r="G1732" t="s">
        <v>9</v>
      </c>
      <c r="H1732" t="s">
        <v>67</v>
      </c>
    </row>
    <row r="1733" spans="1:8" x14ac:dyDescent="0.3">
      <c r="A1733" t="s">
        <v>106</v>
      </c>
      <c r="B1733">
        <v>1</v>
      </c>
      <c r="C1733" t="s">
        <v>105</v>
      </c>
      <c r="D1733">
        <v>0.5</v>
      </c>
      <c r="E1733">
        <v>1975</v>
      </c>
      <c r="G1733" t="s">
        <v>9</v>
      </c>
      <c r="H1733" t="s">
        <v>67</v>
      </c>
    </row>
    <row r="1734" spans="1:8" x14ac:dyDescent="0.3">
      <c r="A1734" t="s">
        <v>106</v>
      </c>
      <c r="B1734">
        <v>1</v>
      </c>
      <c r="C1734" t="s">
        <v>105</v>
      </c>
      <c r="E1734">
        <v>1976</v>
      </c>
      <c r="G1734" t="s">
        <v>9</v>
      </c>
      <c r="H1734" t="s">
        <v>67</v>
      </c>
    </row>
    <row r="1735" spans="1:8" x14ac:dyDescent="0.3">
      <c r="A1735" t="s">
        <v>106</v>
      </c>
      <c r="B1735">
        <v>1</v>
      </c>
      <c r="C1735" t="s">
        <v>105</v>
      </c>
      <c r="E1735">
        <v>1977</v>
      </c>
      <c r="G1735" t="s">
        <v>9</v>
      </c>
      <c r="H1735" t="s">
        <v>67</v>
      </c>
    </row>
    <row r="1736" spans="1:8" x14ac:dyDescent="0.3">
      <c r="A1736" t="s">
        <v>106</v>
      </c>
      <c r="B1736">
        <v>1</v>
      </c>
      <c r="C1736" t="s">
        <v>105</v>
      </c>
      <c r="E1736">
        <v>1978</v>
      </c>
      <c r="G1736" t="s">
        <v>9</v>
      </c>
      <c r="H1736" t="s">
        <v>67</v>
      </c>
    </row>
    <row r="1737" spans="1:8" x14ac:dyDescent="0.3">
      <c r="A1737" t="s">
        <v>106</v>
      </c>
      <c r="B1737">
        <v>1</v>
      </c>
      <c r="C1737" t="s">
        <v>105</v>
      </c>
      <c r="E1737">
        <v>1979</v>
      </c>
      <c r="G1737" t="s">
        <v>9</v>
      </c>
      <c r="H1737" t="s">
        <v>67</v>
      </c>
    </row>
    <row r="1738" spans="1:8" x14ac:dyDescent="0.3">
      <c r="A1738" t="s">
        <v>106</v>
      </c>
      <c r="B1738">
        <v>1</v>
      </c>
      <c r="C1738" t="s">
        <v>105</v>
      </c>
      <c r="D1738">
        <v>4.3</v>
      </c>
      <c r="E1738">
        <v>1980</v>
      </c>
      <c r="G1738" t="s">
        <v>9</v>
      </c>
      <c r="H1738" t="s">
        <v>67</v>
      </c>
    </row>
    <row r="1739" spans="1:8" x14ac:dyDescent="0.3">
      <c r="A1739" t="s">
        <v>106</v>
      </c>
      <c r="B1739">
        <v>1</v>
      </c>
      <c r="C1739" t="s">
        <v>105</v>
      </c>
      <c r="E1739">
        <v>1981</v>
      </c>
      <c r="G1739" t="s">
        <v>9</v>
      </c>
      <c r="H1739" t="s">
        <v>67</v>
      </c>
    </row>
    <row r="1740" spans="1:8" x14ac:dyDescent="0.3">
      <c r="A1740" t="s">
        <v>106</v>
      </c>
      <c r="B1740">
        <v>1</v>
      </c>
      <c r="C1740" t="s">
        <v>105</v>
      </c>
      <c r="E1740">
        <v>1982</v>
      </c>
      <c r="G1740" t="s">
        <v>9</v>
      </c>
      <c r="H1740" t="s">
        <v>67</v>
      </c>
    </row>
    <row r="1741" spans="1:8" x14ac:dyDescent="0.3">
      <c r="A1741" t="s">
        <v>106</v>
      </c>
      <c r="B1741">
        <v>1</v>
      </c>
      <c r="C1741" t="s">
        <v>105</v>
      </c>
      <c r="E1741">
        <v>1983</v>
      </c>
      <c r="G1741" t="s">
        <v>9</v>
      </c>
      <c r="H1741" t="s">
        <v>67</v>
      </c>
    </row>
    <row r="1742" spans="1:8" x14ac:dyDescent="0.3">
      <c r="A1742" t="s">
        <v>106</v>
      </c>
      <c r="B1742">
        <v>1</v>
      </c>
      <c r="C1742" t="s">
        <v>105</v>
      </c>
      <c r="E1742">
        <v>1984</v>
      </c>
      <c r="G1742" t="s">
        <v>9</v>
      </c>
      <c r="H1742" t="s">
        <v>67</v>
      </c>
    </row>
    <row r="1743" spans="1:8" x14ac:dyDescent="0.3">
      <c r="A1743" t="s">
        <v>106</v>
      </c>
      <c r="B1743">
        <v>1</v>
      </c>
      <c r="C1743" t="s">
        <v>105</v>
      </c>
      <c r="E1743">
        <v>1985</v>
      </c>
      <c r="G1743" t="s">
        <v>9</v>
      </c>
      <c r="H1743" t="s">
        <v>67</v>
      </c>
    </row>
    <row r="1744" spans="1:8" x14ac:dyDescent="0.3">
      <c r="A1744" t="s">
        <v>106</v>
      </c>
      <c r="B1744">
        <v>1</v>
      </c>
      <c r="C1744" t="s">
        <v>105</v>
      </c>
      <c r="E1744">
        <v>1986</v>
      </c>
      <c r="G1744" t="s">
        <v>9</v>
      </c>
      <c r="H1744" t="s">
        <v>67</v>
      </c>
    </row>
    <row r="1745" spans="1:8" x14ac:dyDescent="0.3">
      <c r="A1745" t="s">
        <v>106</v>
      </c>
      <c r="B1745">
        <v>1</v>
      </c>
      <c r="C1745" t="s">
        <v>105</v>
      </c>
      <c r="D1745">
        <v>3.5</v>
      </c>
      <c r="E1745">
        <v>1987</v>
      </c>
      <c r="G1745" t="s">
        <v>9</v>
      </c>
      <c r="H1745" t="s">
        <v>67</v>
      </c>
    </row>
    <row r="1746" spans="1:8" x14ac:dyDescent="0.3">
      <c r="A1746" t="s">
        <v>106</v>
      </c>
      <c r="B1746">
        <v>1</v>
      </c>
      <c r="C1746" t="s">
        <v>105</v>
      </c>
      <c r="D1746">
        <v>3.5</v>
      </c>
      <c r="E1746">
        <v>1988</v>
      </c>
      <c r="G1746" t="s">
        <v>9</v>
      </c>
      <c r="H1746" t="s">
        <v>67</v>
      </c>
    </row>
    <row r="1747" spans="1:8" x14ac:dyDescent="0.3">
      <c r="A1747" t="s">
        <v>106</v>
      </c>
      <c r="B1747">
        <v>1</v>
      </c>
      <c r="C1747" t="s">
        <v>105</v>
      </c>
      <c r="E1747">
        <v>1989</v>
      </c>
      <c r="G1747" t="s">
        <v>9</v>
      </c>
      <c r="H1747" t="s">
        <v>67</v>
      </c>
    </row>
    <row r="1748" spans="1:8" x14ac:dyDescent="0.3">
      <c r="A1748" t="s">
        <v>106</v>
      </c>
      <c r="B1748">
        <v>1</v>
      </c>
      <c r="C1748" t="s">
        <v>105</v>
      </c>
      <c r="E1748">
        <v>1990</v>
      </c>
      <c r="G1748" t="s">
        <v>9</v>
      </c>
      <c r="H1748" t="s">
        <v>67</v>
      </c>
    </row>
    <row r="1749" spans="1:8" x14ac:dyDescent="0.3">
      <c r="A1749" t="s">
        <v>106</v>
      </c>
      <c r="B1749">
        <v>1</v>
      </c>
      <c r="C1749" t="s">
        <v>105</v>
      </c>
      <c r="E1749">
        <v>1991</v>
      </c>
      <c r="G1749" t="s">
        <v>9</v>
      </c>
      <c r="H1749" t="s">
        <v>67</v>
      </c>
    </row>
    <row r="1750" spans="1:8" x14ac:dyDescent="0.3">
      <c r="A1750" t="s">
        <v>106</v>
      </c>
      <c r="B1750">
        <v>1</v>
      </c>
      <c r="C1750" t="s">
        <v>105</v>
      </c>
      <c r="E1750">
        <v>1992</v>
      </c>
      <c r="G1750" t="s">
        <v>9</v>
      </c>
      <c r="H1750" t="s">
        <v>67</v>
      </c>
    </row>
    <row r="1751" spans="1:8" x14ac:dyDescent="0.3">
      <c r="A1751" t="s">
        <v>106</v>
      </c>
      <c r="B1751">
        <v>1</v>
      </c>
      <c r="C1751" t="s">
        <v>105</v>
      </c>
      <c r="E1751">
        <v>1993</v>
      </c>
      <c r="G1751" t="s">
        <v>9</v>
      </c>
      <c r="H1751" t="s">
        <v>67</v>
      </c>
    </row>
    <row r="1752" spans="1:8" x14ac:dyDescent="0.3">
      <c r="A1752" t="s">
        <v>106</v>
      </c>
      <c r="B1752">
        <v>1</v>
      </c>
      <c r="C1752" t="s">
        <v>105</v>
      </c>
      <c r="D1752">
        <v>0.8</v>
      </c>
      <c r="E1752">
        <v>1994</v>
      </c>
      <c r="G1752" t="s">
        <v>9</v>
      </c>
      <c r="H1752" t="s">
        <v>67</v>
      </c>
    </row>
    <row r="1753" spans="1:8" x14ac:dyDescent="0.3">
      <c r="A1753" t="s">
        <v>106</v>
      </c>
      <c r="B1753">
        <v>1</v>
      </c>
      <c r="C1753" t="s">
        <v>105</v>
      </c>
      <c r="E1753">
        <v>1995</v>
      </c>
      <c r="G1753" t="s">
        <v>9</v>
      </c>
      <c r="H1753" t="s">
        <v>67</v>
      </c>
    </row>
    <row r="1754" spans="1:8" x14ac:dyDescent="0.3">
      <c r="A1754" t="s">
        <v>106</v>
      </c>
      <c r="B1754">
        <v>1</v>
      </c>
      <c r="C1754" t="s">
        <v>105</v>
      </c>
      <c r="E1754">
        <v>1996</v>
      </c>
      <c r="G1754" t="s">
        <v>9</v>
      </c>
      <c r="H1754" t="s">
        <v>67</v>
      </c>
    </row>
    <row r="1755" spans="1:8" x14ac:dyDescent="0.3">
      <c r="A1755" t="s">
        <v>106</v>
      </c>
      <c r="B1755">
        <v>1</v>
      </c>
      <c r="C1755" t="s">
        <v>105</v>
      </c>
      <c r="E1755">
        <v>1997</v>
      </c>
      <c r="G1755" t="s">
        <v>9</v>
      </c>
      <c r="H1755" t="s">
        <v>67</v>
      </c>
    </row>
    <row r="1756" spans="1:8" x14ac:dyDescent="0.3">
      <c r="A1756" t="s">
        <v>106</v>
      </c>
      <c r="B1756">
        <v>1</v>
      </c>
      <c r="C1756" t="s">
        <v>105</v>
      </c>
      <c r="E1756">
        <v>1998</v>
      </c>
      <c r="G1756" t="s">
        <v>9</v>
      </c>
      <c r="H1756" t="s">
        <v>67</v>
      </c>
    </row>
    <row r="1757" spans="1:8" x14ac:dyDescent="0.3">
      <c r="A1757" t="s">
        <v>106</v>
      </c>
      <c r="B1757">
        <v>1</v>
      </c>
      <c r="C1757" t="s">
        <v>105</v>
      </c>
      <c r="E1757">
        <v>1999</v>
      </c>
      <c r="G1757" t="s">
        <v>9</v>
      </c>
      <c r="H1757" t="s">
        <v>67</v>
      </c>
    </row>
    <row r="1758" spans="1:8" x14ac:dyDescent="0.3">
      <c r="A1758" t="s">
        <v>106</v>
      </c>
      <c r="B1758">
        <v>1</v>
      </c>
      <c r="C1758" t="s">
        <v>105</v>
      </c>
      <c r="E1758">
        <v>2000</v>
      </c>
      <c r="G1758" t="s">
        <v>9</v>
      </c>
      <c r="H1758" t="s">
        <v>67</v>
      </c>
    </row>
    <row r="1759" spans="1:8" x14ac:dyDescent="0.3">
      <c r="A1759" t="s">
        <v>106</v>
      </c>
      <c r="B1759">
        <v>1</v>
      </c>
      <c r="C1759" t="s">
        <v>105</v>
      </c>
      <c r="D1759">
        <v>0.5</v>
      </c>
      <c r="E1759">
        <v>2001</v>
      </c>
      <c r="G1759" t="s">
        <v>9</v>
      </c>
      <c r="H1759" t="s">
        <v>67</v>
      </c>
    </row>
    <row r="1760" spans="1:8" x14ac:dyDescent="0.3">
      <c r="A1760" t="s">
        <v>106</v>
      </c>
      <c r="B1760">
        <v>1</v>
      </c>
      <c r="C1760" t="s">
        <v>105</v>
      </c>
      <c r="D1760">
        <v>0</v>
      </c>
      <c r="E1760">
        <v>2002</v>
      </c>
      <c r="G1760" t="s">
        <v>9</v>
      </c>
      <c r="H1760" t="s">
        <v>67</v>
      </c>
    </row>
    <row r="1761" spans="1:8" x14ac:dyDescent="0.3">
      <c r="A1761" t="s">
        <v>106</v>
      </c>
      <c r="B1761">
        <v>1</v>
      </c>
      <c r="C1761" t="s">
        <v>105</v>
      </c>
      <c r="D1761">
        <v>0.1</v>
      </c>
      <c r="E1761">
        <v>2003</v>
      </c>
      <c r="G1761" t="s">
        <v>9</v>
      </c>
      <c r="H1761" t="s">
        <v>67</v>
      </c>
    </row>
    <row r="1762" spans="1:8" x14ac:dyDescent="0.3">
      <c r="A1762" t="s">
        <v>106</v>
      </c>
      <c r="B1762">
        <v>1</v>
      </c>
      <c r="C1762" t="s">
        <v>105</v>
      </c>
      <c r="E1762">
        <v>2004</v>
      </c>
      <c r="G1762" t="s">
        <v>9</v>
      </c>
      <c r="H1762" t="s">
        <v>67</v>
      </c>
    </row>
    <row r="1763" spans="1:8" x14ac:dyDescent="0.3">
      <c r="A1763" t="s">
        <v>106</v>
      </c>
      <c r="B1763">
        <v>1</v>
      </c>
      <c r="C1763" t="s">
        <v>105</v>
      </c>
      <c r="D1763">
        <v>0.4</v>
      </c>
      <c r="E1763">
        <v>2005</v>
      </c>
      <c r="G1763" t="s">
        <v>9</v>
      </c>
      <c r="H1763" t="s">
        <v>67</v>
      </c>
    </row>
    <row r="1764" spans="1:8" x14ac:dyDescent="0.3">
      <c r="A1764" t="s">
        <v>106</v>
      </c>
      <c r="B1764">
        <v>1</v>
      </c>
      <c r="C1764" t="s">
        <v>105</v>
      </c>
      <c r="D1764">
        <v>0.5</v>
      </c>
      <c r="E1764">
        <v>2006</v>
      </c>
      <c r="G1764" t="s">
        <v>9</v>
      </c>
      <c r="H1764" t="s">
        <v>67</v>
      </c>
    </row>
    <row r="1765" spans="1:8" x14ac:dyDescent="0.3">
      <c r="A1765" t="s">
        <v>106</v>
      </c>
      <c r="B1765">
        <v>1</v>
      </c>
      <c r="C1765" t="s">
        <v>105</v>
      </c>
      <c r="D1765">
        <v>0.4</v>
      </c>
      <c r="E1765">
        <v>2007</v>
      </c>
      <c r="G1765" t="s">
        <v>9</v>
      </c>
      <c r="H1765" t="s">
        <v>67</v>
      </c>
    </row>
    <row r="1766" spans="1:8" x14ac:dyDescent="0.3">
      <c r="A1766" t="s">
        <v>106</v>
      </c>
      <c r="B1766">
        <v>1</v>
      </c>
      <c r="C1766" t="s">
        <v>105</v>
      </c>
      <c r="D1766">
        <v>0.3</v>
      </c>
      <c r="E1766">
        <v>2008</v>
      </c>
      <c r="G1766" t="s">
        <v>9</v>
      </c>
      <c r="H1766" t="s">
        <v>67</v>
      </c>
    </row>
    <row r="1767" spans="1:8" x14ac:dyDescent="0.3">
      <c r="A1767" t="s">
        <v>106</v>
      </c>
      <c r="B1767">
        <v>1</v>
      </c>
      <c r="C1767" t="s">
        <v>105</v>
      </c>
      <c r="E1767">
        <v>2009</v>
      </c>
      <c r="G1767" t="s">
        <v>9</v>
      </c>
      <c r="H1767" t="s">
        <v>67</v>
      </c>
    </row>
    <row r="1768" spans="1:8" x14ac:dyDescent="0.3">
      <c r="A1768" t="s">
        <v>106</v>
      </c>
      <c r="B1768">
        <v>1</v>
      </c>
      <c r="C1768" t="s">
        <v>105</v>
      </c>
      <c r="D1768">
        <v>0.7</v>
      </c>
      <c r="E1768">
        <v>2010</v>
      </c>
      <c r="G1768" t="s">
        <v>9</v>
      </c>
      <c r="H1768" t="s">
        <v>67</v>
      </c>
    </row>
    <row r="1769" spans="1:8" x14ac:dyDescent="0.3">
      <c r="A1769" t="s">
        <v>106</v>
      </c>
      <c r="B1769">
        <v>1</v>
      </c>
      <c r="C1769" t="s">
        <v>105</v>
      </c>
      <c r="D1769">
        <v>0</v>
      </c>
      <c r="E1769">
        <v>2011</v>
      </c>
      <c r="G1769" t="s">
        <v>9</v>
      </c>
      <c r="H1769" t="s">
        <v>67</v>
      </c>
    </row>
    <row r="1770" spans="1:8" x14ac:dyDescent="0.3">
      <c r="A1770" t="s">
        <v>106</v>
      </c>
      <c r="B1770">
        <v>1</v>
      </c>
      <c r="C1770" t="s">
        <v>105</v>
      </c>
      <c r="E1770">
        <v>2012</v>
      </c>
      <c r="G1770" t="s">
        <v>9</v>
      </c>
      <c r="H1770" t="s">
        <v>67</v>
      </c>
    </row>
    <row r="1771" spans="1:8" x14ac:dyDescent="0.3">
      <c r="A1771" t="s">
        <v>106</v>
      </c>
      <c r="B1771">
        <v>1</v>
      </c>
      <c r="C1771" t="s">
        <v>105</v>
      </c>
      <c r="E1771">
        <v>2013</v>
      </c>
      <c r="G1771" t="s">
        <v>9</v>
      </c>
      <c r="H1771" t="s">
        <v>67</v>
      </c>
    </row>
    <row r="1772" spans="1:8" x14ac:dyDescent="0.3">
      <c r="A1772" t="s">
        <v>106</v>
      </c>
      <c r="B1772">
        <v>1</v>
      </c>
      <c r="C1772" t="s">
        <v>105</v>
      </c>
      <c r="D1772">
        <v>0.1</v>
      </c>
      <c r="E1772">
        <v>2014</v>
      </c>
      <c r="G1772" t="s">
        <v>9</v>
      </c>
      <c r="H1772" t="s">
        <v>67</v>
      </c>
    </row>
    <row r="1773" spans="1:8" x14ac:dyDescent="0.3">
      <c r="A1773" t="s">
        <v>107</v>
      </c>
      <c r="B1773">
        <v>1</v>
      </c>
      <c r="C1773" t="s">
        <v>108</v>
      </c>
      <c r="D1773">
        <v>0</v>
      </c>
      <c r="E1773">
        <v>1975</v>
      </c>
      <c r="G1773" t="s">
        <v>9</v>
      </c>
      <c r="H1773" t="s">
        <v>67</v>
      </c>
    </row>
    <row r="1774" spans="1:8" x14ac:dyDescent="0.3">
      <c r="A1774" t="s">
        <v>107</v>
      </c>
      <c r="B1774">
        <v>1</v>
      </c>
      <c r="C1774" t="s">
        <v>108</v>
      </c>
      <c r="E1774">
        <v>1976</v>
      </c>
      <c r="G1774" t="s">
        <v>9</v>
      </c>
      <c r="H1774" t="s">
        <v>67</v>
      </c>
    </row>
    <row r="1775" spans="1:8" x14ac:dyDescent="0.3">
      <c r="A1775" t="s">
        <v>107</v>
      </c>
      <c r="B1775">
        <v>1</v>
      </c>
      <c r="C1775" t="s">
        <v>108</v>
      </c>
      <c r="E1775">
        <v>1977</v>
      </c>
      <c r="G1775" t="s">
        <v>9</v>
      </c>
      <c r="H1775" t="s">
        <v>67</v>
      </c>
    </row>
    <row r="1776" spans="1:8" x14ac:dyDescent="0.3">
      <c r="A1776" t="s">
        <v>107</v>
      </c>
      <c r="B1776">
        <v>1</v>
      </c>
      <c r="C1776" t="s">
        <v>108</v>
      </c>
      <c r="E1776">
        <v>1978</v>
      </c>
      <c r="G1776" t="s">
        <v>9</v>
      </c>
      <c r="H1776" t="s">
        <v>67</v>
      </c>
    </row>
    <row r="1777" spans="1:8" x14ac:dyDescent="0.3">
      <c r="A1777" t="s">
        <v>107</v>
      </c>
      <c r="B1777">
        <v>1</v>
      </c>
      <c r="C1777" t="s">
        <v>108</v>
      </c>
      <c r="E1777">
        <v>1979</v>
      </c>
      <c r="G1777" t="s">
        <v>9</v>
      </c>
      <c r="H1777" t="s">
        <v>67</v>
      </c>
    </row>
    <row r="1778" spans="1:8" x14ac:dyDescent="0.3">
      <c r="A1778" t="s">
        <v>107</v>
      </c>
      <c r="B1778">
        <v>1</v>
      </c>
      <c r="C1778" t="s">
        <v>108</v>
      </c>
      <c r="E1778">
        <v>1980</v>
      </c>
      <c r="G1778" t="s">
        <v>9</v>
      </c>
      <c r="H1778" t="s">
        <v>67</v>
      </c>
    </row>
    <row r="1779" spans="1:8" x14ac:dyDescent="0.3">
      <c r="A1779" t="s">
        <v>107</v>
      </c>
      <c r="B1779">
        <v>1</v>
      </c>
      <c r="C1779" t="s">
        <v>108</v>
      </c>
      <c r="E1779">
        <v>1981</v>
      </c>
      <c r="G1779" t="s">
        <v>9</v>
      </c>
      <c r="H1779" t="s">
        <v>67</v>
      </c>
    </row>
    <row r="1780" spans="1:8" x14ac:dyDescent="0.3">
      <c r="A1780" t="s">
        <v>107</v>
      </c>
      <c r="B1780">
        <v>1</v>
      </c>
      <c r="C1780" t="s">
        <v>108</v>
      </c>
      <c r="E1780">
        <v>1982</v>
      </c>
      <c r="G1780" t="s">
        <v>9</v>
      </c>
      <c r="H1780" t="s">
        <v>67</v>
      </c>
    </row>
    <row r="1781" spans="1:8" x14ac:dyDescent="0.3">
      <c r="A1781" t="s">
        <v>107</v>
      </c>
      <c r="B1781">
        <v>1</v>
      </c>
      <c r="C1781" t="s">
        <v>108</v>
      </c>
      <c r="D1781">
        <v>0.1</v>
      </c>
      <c r="E1781">
        <v>1983</v>
      </c>
      <c r="G1781" t="s">
        <v>9</v>
      </c>
      <c r="H1781" t="s">
        <v>67</v>
      </c>
    </row>
    <row r="1782" spans="1:8" x14ac:dyDescent="0.3">
      <c r="A1782" t="s">
        <v>107</v>
      </c>
      <c r="B1782">
        <v>1</v>
      </c>
      <c r="C1782" t="s">
        <v>108</v>
      </c>
      <c r="D1782">
        <v>0</v>
      </c>
      <c r="E1782">
        <v>1984</v>
      </c>
      <c r="G1782" t="s">
        <v>9</v>
      </c>
      <c r="H1782" t="s">
        <v>67</v>
      </c>
    </row>
    <row r="1783" spans="1:8" x14ac:dyDescent="0.3">
      <c r="A1783" t="s">
        <v>107</v>
      </c>
      <c r="B1783">
        <v>1</v>
      </c>
      <c r="C1783" t="s">
        <v>108</v>
      </c>
      <c r="E1783">
        <v>1985</v>
      </c>
      <c r="G1783" t="s">
        <v>9</v>
      </c>
      <c r="H1783" t="s">
        <v>67</v>
      </c>
    </row>
    <row r="1784" spans="1:8" x14ac:dyDescent="0.3">
      <c r="A1784" t="s">
        <v>107</v>
      </c>
      <c r="B1784">
        <v>1</v>
      </c>
      <c r="C1784" t="s">
        <v>108</v>
      </c>
      <c r="E1784">
        <v>1986</v>
      </c>
      <c r="G1784" t="s">
        <v>9</v>
      </c>
      <c r="H1784" t="s">
        <v>67</v>
      </c>
    </row>
    <row r="1785" spans="1:8" x14ac:dyDescent="0.3">
      <c r="A1785" t="s">
        <v>107</v>
      </c>
      <c r="B1785">
        <v>1</v>
      </c>
      <c r="C1785" t="s">
        <v>108</v>
      </c>
      <c r="E1785">
        <v>1987</v>
      </c>
      <c r="G1785" t="s">
        <v>9</v>
      </c>
      <c r="H1785" t="s">
        <v>67</v>
      </c>
    </row>
    <row r="1786" spans="1:8" x14ac:dyDescent="0.3">
      <c r="A1786" t="s">
        <v>107</v>
      </c>
      <c r="B1786">
        <v>1</v>
      </c>
      <c r="C1786" t="s">
        <v>108</v>
      </c>
      <c r="D1786">
        <v>0.6</v>
      </c>
      <c r="E1786">
        <v>1988</v>
      </c>
      <c r="G1786" t="s">
        <v>9</v>
      </c>
      <c r="H1786" t="s">
        <v>67</v>
      </c>
    </row>
    <row r="1787" spans="1:8" x14ac:dyDescent="0.3">
      <c r="A1787" t="s">
        <v>107</v>
      </c>
      <c r="B1787">
        <v>1</v>
      </c>
      <c r="C1787" t="s">
        <v>108</v>
      </c>
      <c r="E1787">
        <v>1989</v>
      </c>
      <c r="G1787" t="s">
        <v>9</v>
      </c>
      <c r="H1787" t="s">
        <v>67</v>
      </c>
    </row>
    <row r="1788" spans="1:8" x14ac:dyDescent="0.3">
      <c r="A1788" t="s">
        <v>107</v>
      </c>
      <c r="B1788">
        <v>1</v>
      </c>
      <c r="C1788" t="s">
        <v>108</v>
      </c>
      <c r="E1788">
        <v>1990</v>
      </c>
      <c r="G1788" t="s">
        <v>9</v>
      </c>
      <c r="H1788" t="s">
        <v>67</v>
      </c>
    </row>
    <row r="1789" spans="1:8" x14ac:dyDescent="0.3">
      <c r="A1789" t="s">
        <v>107</v>
      </c>
      <c r="B1789">
        <v>1</v>
      </c>
      <c r="C1789" t="s">
        <v>108</v>
      </c>
      <c r="E1789">
        <v>1991</v>
      </c>
      <c r="G1789" t="s">
        <v>9</v>
      </c>
      <c r="H1789" t="s">
        <v>67</v>
      </c>
    </row>
    <row r="1790" spans="1:8" x14ac:dyDescent="0.3">
      <c r="A1790" t="s">
        <v>107</v>
      </c>
      <c r="B1790">
        <v>1</v>
      </c>
      <c r="C1790" t="s">
        <v>108</v>
      </c>
      <c r="E1790">
        <v>1992</v>
      </c>
      <c r="G1790" t="s">
        <v>9</v>
      </c>
      <c r="H1790" t="s">
        <v>67</v>
      </c>
    </row>
    <row r="1791" spans="1:8" x14ac:dyDescent="0.3">
      <c r="A1791" t="s">
        <v>107</v>
      </c>
      <c r="B1791">
        <v>1</v>
      </c>
      <c r="C1791" t="s">
        <v>108</v>
      </c>
      <c r="D1791">
        <v>13.1</v>
      </c>
      <c r="E1791">
        <v>1993</v>
      </c>
      <c r="G1791" t="s">
        <v>9</v>
      </c>
      <c r="H1791" t="s">
        <v>67</v>
      </c>
    </row>
    <row r="1792" spans="1:8" x14ac:dyDescent="0.3">
      <c r="A1792" t="s">
        <v>107</v>
      </c>
      <c r="B1792">
        <v>1</v>
      </c>
      <c r="C1792" t="s">
        <v>108</v>
      </c>
      <c r="D1792">
        <v>10.3</v>
      </c>
      <c r="E1792">
        <v>1994</v>
      </c>
      <c r="G1792" t="s">
        <v>9</v>
      </c>
      <c r="H1792" t="s">
        <v>67</v>
      </c>
    </row>
    <row r="1793" spans="1:8" x14ac:dyDescent="0.3">
      <c r="A1793" t="s">
        <v>107</v>
      </c>
      <c r="B1793">
        <v>1</v>
      </c>
      <c r="C1793" t="s">
        <v>108</v>
      </c>
      <c r="E1793">
        <v>1995</v>
      </c>
      <c r="G1793" t="s">
        <v>9</v>
      </c>
      <c r="H1793" t="s">
        <v>67</v>
      </c>
    </row>
    <row r="1794" spans="1:8" x14ac:dyDescent="0.3">
      <c r="A1794" t="s">
        <v>107</v>
      </c>
      <c r="B1794">
        <v>1</v>
      </c>
      <c r="C1794" t="s">
        <v>108</v>
      </c>
      <c r="E1794">
        <v>1996</v>
      </c>
      <c r="G1794" t="s">
        <v>9</v>
      </c>
      <c r="H1794" t="s">
        <v>67</v>
      </c>
    </row>
    <row r="1795" spans="1:8" x14ac:dyDescent="0.3">
      <c r="A1795" t="s">
        <v>107</v>
      </c>
      <c r="B1795">
        <v>1</v>
      </c>
      <c r="C1795" t="s">
        <v>108</v>
      </c>
      <c r="E1795">
        <v>1997</v>
      </c>
      <c r="G1795" t="s">
        <v>9</v>
      </c>
      <c r="H1795" t="s">
        <v>67</v>
      </c>
    </row>
    <row r="1796" spans="1:8" x14ac:dyDescent="0.3">
      <c r="A1796" t="s">
        <v>107</v>
      </c>
      <c r="B1796">
        <v>1</v>
      </c>
      <c r="C1796" t="s">
        <v>108</v>
      </c>
      <c r="E1796">
        <v>1998</v>
      </c>
      <c r="G1796" t="s">
        <v>9</v>
      </c>
      <c r="H1796" t="s">
        <v>67</v>
      </c>
    </row>
    <row r="1797" spans="1:8" x14ac:dyDescent="0.3">
      <c r="A1797" t="s">
        <v>107</v>
      </c>
      <c r="B1797">
        <v>1</v>
      </c>
      <c r="C1797" t="s">
        <v>108</v>
      </c>
      <c r="E1797">
        <v>1999</v>
      </c>
      <c r="G1797" t="s">
        <v>9</v>
      </c>
      <c r="H1797" t="s">
        <v>67</v>
      </c>
    </row>
    <row r="1798" spans="1:8" x14ac:dyDescent="0.3">
      <c r="A1798" t="s">
        <v>107</v>
      </c>
      <c r="B1798">
        <v>1</v>
      </c>
      <c r="C1798" t="s">
        <v>108</v>
      </c>
      <c r="E1798">
        <v>2000</v>
      </c>
      <c r="G1798" t="s">
        <v>9</v>
      </c>
      <c r="H1798" t="s">
        <v>67</v>
      </c>
    </row>
    <row r="1799" spans="1:8" x14ac:dyDescent="0.3">
      <c r="A1799" t="s">
        <v>107</v>
      </c>
      <c r="B1799">
        <v>1</v>
      </c>
      <c r="C1799" t="s">
        <v>108</v>
      </c>
      <c r="D1799">
        <v>17.5</v>
      </c>
      <c r="E1799">
        <v>2001</v>
      </c>
      <c r="G1799" t="s">
        <v>9</v>
      </c>
      <c r="H1799" t="s">
        <v>67</v>
      </c>
    </row>
    <row r="1800" spans="1:8" x14ac:dyDescent="0.3">
      <c r="A1800" t="s">
        <v>107</v>
      </c>
      <c r="B1800">
        <v>1</v>
      </c>
      <c r="C1800" t="s">
        <v>108</v>
      </c>
      <c r="D1800">
        <v>14.1</v>
      </c>
      <c r="E1800">
        <v>2002</v>
      </c>
      <c r="G1800" t="s">
        <v>9</v>
      </c>
      <c r="H1800" t="s">
        <v>67</v>
      </c>
    </row>
    <row r="1801" spans="1:8" x14ac:dyDescent="0.3">
      <c r="A1801" t="s">
        <v>107</v>
      </c>
      <c r="B1801">
        <v>1</v>
      </c>
      <c r="C1801" t="s">
        <v>108</v>
      </c>
      <c r="D1801">
        <v>6.1</v>
      </c>
      <c r="E1801">
        <v>2003</v>
      </c>
      <c r="G1801" t="s">
        <v>9</v>
      </c>
      <c r="H1801" t="s">
        <v>67</v>
      </c>
    </row>
    <row r="1802" spans="1:8" x14ac:dyDescent="0.3">
      <c r="A1802" t="s">
        <v>107</v>
      </c>
      <c r="B1802">
        <v>1</v>
      </c>
      <c r="C1802" t="s">
        <v>108</v>
      </c>
      <c r="E1802">
        <v>2004</v>
      </c>
      <c r="G1802" t="s">
        <v>9</v>
      </c>
      <c r="H1802" t="s">
        <v>67</v>
      </c>
    </row>
    <row r="1803" spans="1:8" x14ac:dyDescent="0.3">
      <c r="A1803" t="s">
        <v>107</v>
      </c>
      <c r="B1803">
        <v>1</v>
      </c>
      <c r="C1803" t="s">
        <v>108</v>
      </c>
      <c r="E1803">
        <v>2005</v>
      </c>
      <c r="G1803" t="s">
        <v>9</v>
      </c>
      <c r="H1803" t="s">
        <v>67</v>
      </c>
    </row>
    <row r="1804" spans="1:8" x14ac:dyDescent="0.3">
      <c r="A1804" t="s">
        <v>107</v>
      </c>
      <c r="B1804">
        <v>1</v>
      </c>
      <c r="C1804" t="s">
        <v>108</v>
      </c>
      <c r="E1804">
        <v>2006</v>
      </c>
      <c r="G1804" t="s">
        <v>9</v>
      </c>
      <c r="H1804" t="s">
        <v>67</v>
      </c>
    </row>
    <row r="1805" spans="1:8" x14ac:dyDescent="0.3">
      <c r="A1805" t="s">
        <v>107</v>
      </c>
      <c r="B1805">
        <v>1</v>
      </c>
      <c r="C1805" t="s">
        <v>108</v>
      </c>
      <c r="D1805">
        <v>2.2999999999999998</v>
      </c>
      <c r="E1805">
        <v>2007</v>
      </c>
      <c r="G1805" t="s">
        <v>9</v>
      </c>
      <c r="H1805" t="s">
        <v>67</v>
      </c>
    </row>
    <row r="1806" spans="1:8" x14ac:dyDescent="0.3">
      <c r="A1806" t="s">
        <v>107</v>
      </c>
      <c r="B1806">
        <v>1</v>
      </c>
      <c r="C1806" t="s">
        <v>108</v>
      </c>
      <c r="D1806">
        <v>6.5</v>
      </c>
      <c r="E1806">
        <v>2008</v>
      </c>
      <c r="G1806" t="s">
        <v>9</v>
      </c>
      <c r="H1806" t="s">
        <v>67</v>
      </c>
    </row>
    <row r="1807" spans="1:8" x14ac:dyDescent="0.3">
      <c r="A1807" t="s">
        <v>107</v>
      </c>
      <c r="B1807">
        <v>1</v>
      </c>
      <c r="C1807" t="s">
        <v>108</v>
      </c>
      <c r="E1807">
        <v>2009</v>
      </c>
      <c r="G1807" t="s">
        <v>9</v>
      </c>
      <c r="H1807" t="s">
        <v>67</v>
      </c>
    </row>
    <row r="1808" spans="1:8" x14ac:dyDescent="0.3">
      <c r="A1808" t="s">
        <v>107</v>
      </c>
      <c r="B1808">
        <v>1</v>
      </c>
      <c r="C1808" t="s">
        <v>108</v>
      </c>
      <c r="D1808">
        <v>11.1</v>
      </c>
      <c r="E1808">
        <v>2010</v>
      </c>
      <c r="G1808" t="s">
        <v>9</v>
      </c>
      <c r="H1808" t="s">
        <v>67</v>
      </c>
    </row>
    <row r="1809" spans="1:8" x14ac:dyDescent="0.3">
      <c r="A1809" t="s">
        <v>107</v>
      </c>
      <c r="B1809">
        <v>1</v>
      </c>
      <c r="C1809" t="s">
        <v>108</v>
      </c>
      <c r="E1809">
        <v>2011</v>
      </c>
      <c r="G1809" t="s">
        <v>9</v>
      </c>
      <c r="H1809" t="s">
        <v>67</v>
      </c>
    </row>
    <row r="1810" spans="1:8" x14ac:dyDescent="0.3">
      <c r="A1810" t="s">
        <v>107</v>
      </c>
      <c r="B1810">
        <v>1</v>
      </c>
      <c r="C1810" t="s">
        <v>108</v>
      </c>
      <c r="E1810">
        <v>2012</v>
      </c>
      <c r="G1810" t="s">
        <v>9</v>
      </c>
      <c r="H1810" t="s">
        <v>67</v>
      </c>
    </row>
    <row r="1811" spans="1:8" x14ac:dyDescent="0.3">
      <c r="A1811" t="s">
        <v>107</v>
      </c>
      <c r="B1811">
        <v>1</v>
      </c>
      <c r="C1811" t="s">
        <v>108</v>
      </c>
      <c r="E1811">
        <v>2013</v>
      </c>
      <c r="G1811" t="s">
        <v>9</v>
      </c>
      <c r="H1811" t="s">
        <v>67</v>
      </c>
    </row>
    <row r="1812" spans="1:8" x14ac:dyDescent="0.3">
      <c r="A1812" t="s">
        <v>107</v>
      </c>
      <c r="B1812">
        <v>1</v>
      </c>
      <c r="C1812" t="s">
        <v>108</v>
      </c>
      <c r="E1812">
        <v>2014</v>
      </c>
      <c r="G1812" t="s">
        <v>9</v>
      </c>
      <c r="H1812" t="s">
        <v>67</v>
      </c>
    </row>
    <row r="1813" spans="1:8" x14ac:dyDescent="0.3">
      <c r="A1813" t="s">
        <v>107</v>
      </c>
      <c r="B1813">
        <v>1</v>
      </c>
      <c r="C1813" t="s">
        <v>108</v>
      </c>
      <c r="E1813">
        <v>2015</v>
      </c>
      <c r="G1813" t="s">
        <v>9</v>
      </c>
      <c r="H1813" t="s">
        <v>67</v>
      </c>
    </row>
    <row r="1814" spans="1:8" x14ac:dyDescent="0.3">
      <c r="A1814" t="s">
        <v>107</v>
      </c>
      <c r="B1814">
        <v>1</v>
      </c>
      <c r="C1814" t="s">
        <v>108</v>
      </c>
      <c r="E1814">
        <v>2016</v>
      </c>
      <c r="G1814" t="s">
        <v>9</v>
      </c>
      <c r="H1814" t="s">
        <v>67</v>
      </c>
    </row>
    <row r="1815" spans="1:8" x14ac:dyDescent="0.3">
      <c r="A1815" t="s">
        <v>107</v>
      </c>
      <c r="B1815">
        <v>1</v>
      </c>
      <c r="C1815" t="s">
        <v>108</v>
      </c>
      <c r="D1815">
        <v>1.4</v>
      </c>
      <c r="E1815">
        <v>2017</v>
      </c>
      <c r="G1815" t="s">
        <v>9</v>
      </c>
      <c r="H1815" t="s">
        <v>67</v>
      </c>
    </row>
    <row r="1816" spans="1:8" x14ac:dyDescent="0.3">
      <c r="A1816" t="s">
        <v>109</v>
      </c>
      <c r="B1816">
        <v>1</v>
      </c>
      <c r="C1816" t="s">
        <v>110</v>
      </c>
      <c r="D1816">
        <v>2.2000000000000002</v>
      </c>
      <c r="E1816">
        <v>1975</v>
      </c>
      <c r="G1816" t="s">
        <v>9</v>
      </c>
      <c r="H1816" t="s">
        <v>67</v>
      </c>
    </row>
    <row r="1817" spans="1:8" x14ac:dyDescent="0.3">
      <c r="A1817" t="s">
        <v>109</v>
      </c>
      <c r="B1817">
        <v>1</v>
      </c>
      <c r="C1817" t="s">
        <v>110</v>
      </c>
      <c r="E1817">
        <v>1976</v>
      </c>
      <c r="G1817" t="s">
        <v>9</v>
      </c>
      <c r="H1817" t="s">
        <v>67</v>
      </c>
    </row>
    <row r="1818" spans="1:8" x14ac:dyDescent="0.3">
      <c r="A1818" t="s">
        <v>109</v>
      </c>
      <c r="B1818">
        <v>1</v>
      </c>
      <c r="C1818" t="s">
        <v>110</v>
      </c>
      <c r="E1818">
        <v>1977</v>
      </c>
      <c r="G1818" t="s">
        <v>9</v>
      </c>
      <c r="H1818" t="s">
        <v>67</v>
      </c>
    </row>
    <row r="1819" spans="1:8" x14ac:dyDescent="0.3">
      <c r="A1819" t="s">
        <v>109</v>
      </c>
      <c r="B1819">
        <v>1</v>
      </c>
      <c r="C1819" t="s">
        <v>110</v>
      </c>
      <c r="E1819">
        <v>1978</v>
      </c>
      <c r="G1819" t="s">
        <v>9</v>
      </c>
      <c r="H1819" t="s">
        <v>67</v>
      </c>
    </row>
    <row r="1820" spans="1:8" x14ac:dyDescent="0.3">
      <c r="A1820" t="s">
        <v>109</v>
      </c>
      <c r="B1820">
        <v>1</v>
      </c>
      <c r="C1820" t="s">
        <v>110</v>
      </c>
      <c r="E1820">
        <v>1979</v>
      </c>
      <c r="G1820" t="s">
        <v>9</v>
      </c>
      <c r="H1820" t="s">
        <v>67</v>
      </c>
    </row>
    <row r="1821" spans="1:8" x14ac:dyDescent="0.3">
      <c r="A1821" t="s">
        <v>109</v>
      </c>
      <c r="B1821">
        <v>1</v>
      </c>
      <c r="C1821" t="s">
        <v>110</v>
      </c>
      <c r="E1821">
        <v>1980</v>
      </c>
      <c r="G1821" t="s">
        <v>9</v>
      </c>
      <c r="H1821" t="s">
        <v>67</v>
      </c>
    </row>
    <row r="1822" spans="1:8" x14ac:dyDescent="0.3">
      <c r="A1822" t="s">
        <v>109</v>
      </c>
      <c r="B1822">
        <v>1</v>
      </c>
      <c r="C1822" t="s">
        <v>110</v>
      </c>
      <c r="E1822">
        <v>1981</v>
      </c>
      <c r="G1822" t="s">
        <v>9</v>
      </c>
      <c r="H1822" t="s">
        <v>67</v>
      </c>
    </row>
    <row r="1823" spans="1:8" x14ac:dyDescent="0.3">
      <c r="A1823" t="s">
        <v>109</v>
      </c>
      <c r="B1823">
        <v>1</v>
      </c>
      <c r="C1823" t="s">
        <v>110</v>
      </c>
      <c r="E1823">
        <v>1982</v>
      </c>
      <c r="G1823" t="s">
        <v>9</v>
      </c>
      <c r="H1823" t="s">
        <v>67</v>
      </c>
    </row>
    <row r="1824" spans="1:8" x14ac:dyDescent="0.3">
      <c r="A1824" t="s">
        <v>109</v>
      </c>
      <c r="B1824">
        <v>1</v>
      </c>
      <c r="C1824" t="s">
        <v>110</v>
      </c>
      <c r="E1824">
        <v>1983</v>
      </c>
      <c r="G1824" t="s">
        <v>9</v>
      </c>
      <c r="H1824" t="s">
        <v>67</v>
      </c>
    </row>
    <row r="1825" spans="1:8" x14ac:dyDescent="0.3">
      <c r="A1825" t="s">
        <v>109</v>
      </c>
      <c r="B1825">
        <v>1</v>
      </c>
      <c r="C1825" t="s">
        <v>110</v>
      </c>
      <c r="E1825">
        <v>1984</v>
      </c>
      <c r="G1825" t="s">
        <v>9</v>
      </c>
      <c r="H1825" t="s">
        <v>67</v>
      </c>
    </row>
    <row r="1826" spans="1:8" x14ac:dyDescent="0.3">
      <c r="A1826" t="s">
        <v>109</v>
      </c>
      <c r="B1826">
        <v>1</v>
      </c>
      <c r="C1826" t="s">
        <v>110</v>
      </c>
      <c r="E1826">
        <v>1985</v>
      </c>
      <c r="G1826" t="s">
        <v>9</v>
      </c>
      <c r="H1826" t="s">
        <v>67</v>
      </c>
    </row>
    <row r="1827" spans="1:8" x14ac:dyDescent="0.3">
      <c r="A1827" t="s">
        <v>109</v>
      </c>
      <c r="B1827">
        <v>1</v>
      </c>
      <c r="C1827" t="s">
        <v>110</v>
      </c>
      <c r="E1827">
        <v>1986</v>
      </c>
      <c r="G1827" t="s">
        <v>9</v>
      </c>
      <c r="H1827" t="s">
        <v>67</v>
      </c>
    </row>
    <row r="1828" spans="1:8" x14ac:dyDescent="0.3">
      <c r="A1828" t="s">
        <v>109</v>
      </c>
      <c r="B1828">
        <v>1</v>
      </c>
      <c r="C1828" t="s">
        <v>110</v>
      </c>
      <c r="D1828">
        <v>0</v>
      </c>
      <c r="E1828">
        <v>1987</v>
      </c>
      <c r="G1828" t="s">
        <v>9</v>
      </c>
      <c r="H1828" t="s">
        <v>67</v>
      </c>
    </row>
    <row r="1829" spans="1:8" x14ac:dyDescent="0.3">
      <c r="A1829" t="s">
        <v>109</v>
      </c>
      <c r="B1829">
        <v>1</v>
      </c>
      <c r="C1829" t="s">
        <v>110</v>
      </c>
      <c r="E1829">
        <v>1988</v>
      </c>
      <c r="G1829" t="s">
        <v>9</v>
      </c>
      <c r="H1829" t="s">
        <v>67</v>
      </c>
    </row>
    <row r="1830" spans="1:8" x14ac:dyDescent="0.3">
      <c r="A1830" t="s">
        <v>109</v>
      </c>
      <c r="B1830">
        <v>1</v>
      </c>
      <c r="C1830" t="s">
        <v>110</v>
      </c>
      <c r="E1830">
        <v>1989</v>
      </c>
      <c r="G1830" t="s">
        <v>9</v>
      </c>
      <c r="H1830" t="s">
        <v>67</v>
      </c>
    </row>
    <row r="1831" spans="1:8" x14ac:dyDescent="0.3">
      <c r="A1831" t="s">
        <v>109</v>
      </c>
      <c r="B1831">
        <v>1</v>
      </c>
      <c r="C1831" t="s">
        <v>110</v>
      </c>
      <c r="E1831">
        <v>1990</v>
      </c>
      <c r="G1831" t="s">
        <v>9</v>
      </c>
      <c r="H1831" t="s">
        <v>67</v>
      </c>
    </row>
    <row r="1832" spans="1:8" x14ac:dyDescent="0.3">
      <c r="A1832" t="s">
        <v>109</v>
      </c>
      <c r="B1832">
        <v>1</v>
      </c>
      <c r="C1832" t="s">
        <v>110</v>
      </c>
      <c r="E1832">
        <v>1991</v>
      </c>
      <c r="G1832" t="s">
        <v>9</v>
      </c>
      <c r="H1832" t="s">
        <v>67</v>
      </c>
    </row>
    <row r="1833" spans="1:8" x14ac:dyDescent="0.3">
      <c r="A1833" t="s">
        <v>109</v>
      </c>
      <c r="B1833">
        <v>1</v>
      </c>
      <c r="C1833" t="s">
        <v>110</v>
      </c>
      <c r="E1833">
        <v>1992</v>
      </c>
      <c r="G1833" t="s">
        <v>9</v>
      </c>
      <c r="H1833" t="s">
        <v>67</v>
      </c>
    </row>
    <row r="1834" spans="1:8" x14ac:dyDescent="0.3">
      <c r="A1834" t="s">
        <v>109</v>
      </c>
      <c r="B1834">
        <v>1</v>
      </c>
      <c r="C1834" t="s">
        <v>110</v>
      </c>
      <c r="E1834">
        <v>1993</v>
      </c>
      <c r="G1834" t="s">
        <v>9</v>
      </c>
      <c r="H1834" t="s">
        <v>67</v>
      </c>
    </row>
    <row r="1835" spans="1:8" x14ac:dyDescent="0.3">
      <c r="A1835" t="s">
        <v>109</v>
      </c>
      <c r="B1835">
        <v>1</v>
      </c>
      <c r="C1835" t="s">
        <v>110</v>
      </c>
      <c r="E1835">
        <v>1994</v>
      </c>
      <c r="G1835" t="s">
        <v>9</v>
      </c>
      <c r="H1835" t="s">
        <v>67</v>
      </c>
    </row>
    <row r="1836" spans="1:8" x14ac:dyDescent="0.3">
      <c r="A1836" t="s">
        <v>109</v>
      </c>
      <c r="B1836">
        <v>1</v>
      </c>
      <c r="C1836" t="s">
        <v>110</v>
      </c>
      <c r="E1836">
        <v>1995</v>
      </c>
      <c r="G1836" t="s">
        <v>9</v>
      </c>
      <c r="H1836" t="s">
        <v>67</v>
      </c>
    </row>
    <row r="1837" spans="1:8" x14ac:dyDescent="0.3">
      <c r="A1837" t="s">
        <v>109</v>
      </c>
      <c r="B1837">
        <v>1</v>
      </c>
      <c r="C1837" t="s">
        <v>110</v>
      </c>
      <c r="E1837">
        <v>1996</v>
      </c>
      <c r="G1837" t="s">
        <v>9</v>
      </c>
      <c r="H1837" t="s">
        <v>67</v>
      </c>
    </row>
    <row r="1838" spans="1:8" x14ac:dyDescent="0.3">
      <c r="A1838" t="s">
        <v>109</v>
      </c>
      <c r="B1838">
        <v>1</v>
      </c>
      <c r="C1838" t="s">
        <v>110</v>
      </c>
      <c r="E1838">
        <v>1997</v>
      </c>
      <c r="G1838" t="s">
        <v>9</v>
      </c>
      <c r="H1838" t="s">
        <v>67</v>
      </c>
    </row>
    <row r="1839" spans="1:8" x14ac:dyDescent="0.3">
      <c r="A1839" t="s">
        <v>109</v>
      </c>
      <c r="B1839">
        <v>1</v>
      </c>
      <c r="C1839" t="s">
        <v>110</v>
      </c>
      <c r="E1839">
        <v>1998</v>
      </c>
      <c r="G1839" t="s">
        <v>9</v>
      </c>
      <c r="H1839" t="s">
        <v>67</v>
      </c>
    </row>
    <row r="1840" spans="1:8" x14ac:dyDescent="0.3">
      <c r="A1840" t="s">
        <v>109</v>
      </c>
      <c r="B1840">
        <v>1</v>
      </c>
      <c r="C1840" t="s">
        <v>110</v>
      </c>
      <c r="E1840">
        <v>1999</v>
      </c>
      <c r="G1840" t="s">
        <v>9</v>
      </c>
      <c r="H1840" t="s">
        <v>67</v>
      </c>
    </row>
    <row r="1841" spans="1:8" x14ac:dyDescent="0.3">
      <c r="A1841" t="s">
        <v>109</v>
      </c>
      <c r="B1841">
        <v>1</v>
      </c>
      <c r="C1841" t="s">
        <v>110</v>
      </c>
      <c r="E1841">
        <v>2000</v>
      </c>
      <c r="G1841" t="s">
        <v>9</v>
      </c>
      <c r="H1841" t="s">
        <v>67</v>
      </c>
    </row>
    <row r="1842" spans="1:8" x14ac:dyDescent="0.3">
      <c r="A1842" t="s">
        <v>109</v>
      </c>
      <c r="B1842">
        <v>1</v>
      </c>
      <c r="C1842" t="s">
        <v>110</v>
      </c>
      <c r="E1842">
        <v>2001</v>
      </c>
      <c r="G1842" t="s">
        <v>9</v>
      </c>
      <c r="H1842" t="s">
        <v>67</v>
      </c>
    </row>
    <row r="1843" spans="1:8" x14ac:dyDescent="0.3">
      <c r="A1843" t="s">
        <v>109</v>
      </c>
      <c r="B1843">
        <v>1</v>
      </c>
      <c r="C1843" t="s">
        <v>110</v>
      </c>
      <c r="D1843">
        <v>0.3</v>
      </c>
      <c r="E1843">
        <v>2002</v>
      </c>
      <c r="G1843" t="s">
        <v>9</v>
      </c>
      <c r="H1843" t="s">
        <v>67</v>
      </c>
    </row>
    <row r="1844" spans="1:8" x14ac:dyDescent="0.3">
      <c r="A1844" t="s">
        <v>109</v>
      </c>
      <c r="B1844">
        <v>1</v>
      </c>
      <c r="C1844" t="s">
        <v>110</v>
      </c>
      <c r="D1844">
        <v>0.3</v>
      </c>
      <c r="E1844">
        <v>2003</v>
      </c>
      <c r="G1844" t="s">
        <v>9</v>
      </c>
      <c r="H1844" t="s">
        <v>67</v>
      </c>
    </row>
    <row r="1845" spans="1:8" x14ac:dyDescent="0.3">
      <c r="A1845" t="s">
        <v>109</v>
      </c>
      <c r="B1845">
        <v>1</v>
      </c>
      <c r="C1845" t="s">
        <v>110</v>
      </c>
      <c r="E1845">
        <v>2004</v>
      </c>
      <c r="G1845" t="s">
        <v>9</v>
      </c>
      <c r="H1845" t="s">
        <v>67</v>
      </c>
    </row>
    <row r="1846" spans="1:8" x14ac:dyDescent="0.3">
      <c r="A1846" t="s">
        <v>109</v>
      </c>
      <c r="B1846">
        <v>1</v>
      </c>
      <c r="C1846" t="s">
        <v>110</v>
      </c>
      <c r="D1846">
        <v>0</v>
      </c>
      <c r="E1846">
        <v>2005</v>
      </c>
      <c r="G1846" t="s">
        <v>9</v>
      </c>
      <c r="H1846" t="s">
        <v>67</v>
      </c>
    </row>
    <row r="1847" spans="1:8" x14ac:dyDescent="0.3">
      <c r="A1847" t="s">
        <v>109</v>
      </c>
      <c r="B1847">
        <v>1</v>
      </c>
      <c r="C1847" t="s">
        <v>110</v>
      </c>
      <c r="D1847">
        <v>0</v>
      </c>
      <c r="E1847">
        <v>2006</v>
      </c>
      <c r="G1847" t="s">
        <v>9</v>
      </c>
      <c r="H1847" t="s">
        <v>67</v>
      </c>
    </row>
    <row r="1848" spans="1:8" x14ac:dyDescent="0.3">
      <c r="A1848" t="s">
        <v>109</v>
      </c>
      <c r="B1848">
        <v>1</v>
      </c>
      <c r="C1848" t="s">
        <v>110</v>
      </c>
      <c r="D1848">
        <v>0</v>
      </c>
      <c r="E1848">
        <v>2007</v>
      </c>
      <c r="G1848" t="s">
        <v>9</v>
      </c>
      <c r="H1848" t="s">
        <v>67</v>
      </c>
    </row>
    <row r="1849" spans="1:8" x14ac:dyDescent="0.3">
      <c r="A1849" t="s">
        <v>109</v>
      </c>
      <c r="B1849">
        <v>1</v>
      </c>
      <c r="C1849" t="s">
        <v>110</v>
      </c>
      <c r="D1849">
        <v>0</v>
      </c>
      <c r="E1849">
        <v>2008</v>
      </c>
      <c r="G1849" t="s">
        <v>9</v>
      </c>
      <c r="H1849" t="s">
        <v>67</v>
      </c>
    </row>
    <row r="1850" spans="1:8" x14ac:dyDescent="0.3">
      <c r="A1850" t="s">
        <v>109</v>
      </c>
      <c r="B1850">
        <v>1</v>
      </c>
      <c r="C1850" t="s">
        <v>110</v>
      </c>
      <c r="E1850">
        <v>2009</v>
      </c>
      <c r="G1850" t="s">
        <v>9</v>
      </c>
      <c r="H1850" t="s">
        <v>67</v>
      </c>
    </row>
    <row r="1851" spans="1:8" x14ac:dyDescent="0.3">
      <c r="A1851" t="s">
        <v>109</v>
      </c>
      <c r="B1851">
        <v>1</v>
      </c>
      <c r="C1851" t="s">
        <v>110</v>
      </c>
      <c r="E1851">
        <v>2010</v>
      </c>
      <c r="G1851" t="s">
        <v>9</v>
      </c>
      <c r="H1851" t="s">
        <v>67</v>
      </c>
    </row>
    <row r="1852" spans="1:8" x14ac:dyDescent="0.3">
      <c r="A1852" t="s">
        <v>109</v>
      </c>
      <c r="B1852">
        <v>1</v>
      </c>
      <c r="C1852" t="s">
        <v>110</v>
      </c>
      <c r="E1852">
        <v>2011</v>
      </c>
      <c r="G1852" t="s">
        <v>9</v>
      </c>
      <c r="H1852" t="s">
        <v>67</v>
      </c>
    </row>
    <row r="1853" spans="1:8" x14ac:dyDescent="0.3">
      <c r="A1853" t="s">
        <v>109</v>
      </c>
      <c r="B1853">
        <v>1</v>
      </c>
      <c r="C1853" t="s">
        <v>110</v>
      </c>
      <c r="E1853">
        <v>2012</v>
      </c>
      <c r="G1853" t="s">
        <v>9</v>
      </c>
      <c r="H1853" t="s">
        <v>67</v>
      </c>
    </row>
    <row r="1854" spans="1:8" x14ac:dyDescent="0.3">
      <c r="A1854" t="s">
        <v>109</v>
      </c>
      <c r="B1854">
        <v>1</v>
      </c>
      <c r="C1854" t="s">
        <v>110</v>
      </c>
      <c r="E1854">
        <v>2013</v>
      </c>
      <c r="G1854" t="s">
        <v>9</v>
      </c>
      <c r="H1854" t="s">
        <v>67</v>
      </c>
    </row>
    <row r="1855" spans="1:8" x14ac:dyDescent="0.3">
      <c r="A1855" t="s">
        <v>109</v>
      </c>
      <c r="B1855">
        <v>1</v>
      </c>
      <c r="C1855" t="s">
        <v>110</v>
      </c>
      <c r="E1855">
        <v>2014</v>
      </c>
      <c r="G1855" t="s">
        <v>9</v>
      </c>
      <c r="H1855" t="s">
        <v>67</v>
      </c>
    </row>
    <row r="1856" spans="1:8" x14ac:dyDescent="0.3">
      <c r="A1856" t="s">
        <v>109</v>
      </c>
      <c r="B1856">
        <v>1</v>
      </c>
      <c r="C1856" t="s">
        <v>110</v>
      </c>
      <c r="E1856">
        <v>2015</v>
      </c>
      <c r="G1856" t="s">
        <v>9</v>
      </c>
      <c r="H1856" t="s">
        <v>67</v>
      </c>
    </row>
    <row r="1857" spans="1:8" x14ac:dyDescent="0.3">
      <c r="A1857" t="s">
        <v>109</v>
      </c>
      <c r="B1857">
        <v>1</v>
      </c>
      <c r="C1857" t="s">
        <v>110</v>
      </c>
      <c r="E1857">
        <v>2016</v>
      </c>
      <c r="G1857" t="s">
        <v>9</v>
      </c>
      <c r="H1857" t="s">
        <v>67</v>
      </c>
    </row>
    <row r="1858" spans="1:8" x14ac:dyDescent="0.3">
      <c r="A1858" t="s">
        <v>109</v>
      </c>
      <c r="B1858">
        <v>1</v>
      </c>
      <c r="C1858" t="s">
        <v>110</v>
      </c>
      <c r="D1858">
        <v>0</v>
      </c>
      <c r="E1858">
        <v>2017</v>
      </c>
      <c r="G1858" t="s">
        <v>9</v>
      </c>
      <c r="H1858" t="s">
        <v>67</v>
      </c>
    </row>
  </sheetData>
  <autoFilter ref="A1:H1080" xr:uid="{7A607EED-BDE6-4E7B-8223-CBB56B106F2E}"/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Barrus</dc:creator>
  <cp:lastModifiedBy>Nathan Barrus</cp:lastModifiedBy>
  <dcterms:created xsi:type="dcterms:W3CDTF">2024-03-14T19:45:44Z</dcterms:created>
  <dcterms:modified xsi:type="dcterms:W3CDTF">2026-01-13T15:31:58Z</dcterms:modified>
</cp:coreProperties>
</file>