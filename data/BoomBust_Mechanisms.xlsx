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4f5e485ed766aa2/Pictures/Documents/Career/Journal Publications/Manuscripts/Dissertation/boom-bust/data/"/>
    </mc:Choice>
  </mc:AlternateContent>
  <xr:revisionPtr revIDLastSave="787" documentId="8_{1B1AAC56-C345-4EC3-95A7-6FD9A5B02C36}" xr6:coauthVersionLast="47" xr6:coauthVersionMax="47" xr10:uidLastSave="{23097938-25DD-4794-9008-AA236724967F}"/>
  <bookViews>
    <workbookView xWindow="-96" yWindow="0" windowWidth="14016" windowHeight="12336" activeTab="1" xr2:uid="{D0698BA0-D8A4-462B-B44D-ABAD27A63A84}"/>
  </bookViews>
  <sheets>
    <sheet name="Metadata" sheetId="2" r:id="rId1"/>
    <sheet name="Mechanism_Supplementary" sheetId="1" r:id="rId2"/>
    <sheet name="Table 1"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16" i="4"/>
  <c r="C11" i="4"/>
  <c r="C6" i="4"/>
</calcChain>
</file>

<file path=xl/sharedStrings.xml><?xml version="1.0" encoding="utf-8"?>
<sst xmlns="http://schemas.openxmlformats.org/spreadsheetml/2006/main" count="187" uniqueCount="130">
  <si>
    <t>Paper</t>
  </si>
  <si>
    <t>Lines of Evidence</t>
  </si>
  <si>
    <t>Mechanism</t>
  </si>
  <si>
    <t>Evidence Strength</t>
  </si>
  <si>
    <t>Author</t>
  </si>
  <si>
    <t>Boom-Bust of Sargassum muticum in northern Spain: 30 years of invasion</t>
  </si>
  <si>
    <t>C. Fernandez</t>
  </si>
  <si>
    <t>Evidence Strength Value</t>
  </si>
  <si>
    <t>Description</t>
  </si>
  <si>
    <t>weak</t>
  </si>
  <si>
    <t>poor</t>
  </si>
  <si>
    <t>intermediate</t>
  </si>
  <si>
    <t>strong</t>
  </si>
  <si>
    <t>Boom-Bust_Classification</t>
  </si>
  <si>
    <t>Boom-Bust</t>
  </si>
  <si>
    <t>1) invading sargassum have lower genetic diversity than native populations</t>
  </si>
  <si>
    <t>The paper has some evidence, some empirical work testing hypothesized mechanism is presented or cited but is correlary with little to no alternative mechanisms tested, the suggeset mechanisms is a more data driven hypothesis. No demographic work.</t>
  </si>
  <si>
    <t>Changes in Population of Exotic Rainbow Smelt in Lake Superior: Boom to Bust, 1974-2005</t>
  </si>
  <si>
    <t>Owen Gorman</t>
  </si>
  <si>
    <t>Enemy release followed by enemy accumulation</t>
  </si>
  <si>
    <t>1) Modelling work gave aprior predictions about the lake-trout, rainbow smelt, and lake herring interactions, time series correlation between the species match the model predictions</t>
  </si>
  <si>
    <t>2) Demographics: Age-Structure and Mortality were tracked through time matching predictions of apparent competition with lake herring and size-selected predation by lake trout</t>
  </si>
  <si>
    <t>4) Rainbow Trout are the dominant food item of lake trout (native predator)</t>
  </si>
  <si>
    <t>5) Cannabilism was regulatory, though cannabalism rates are not assessed throughout the time frame</t>
  </si>
  <si>
    <t>Boom-Bust (For Biomass) &amp; Boom-Bust (For Density, Bust Not Sust.)</t>
  </si>
  <si>
    <t>2) the summer upwelling has weakened during the summer, and increased thermal stress on other heat-senstive seaweeds in 2006. The decline in sargassum correlates with the beginning of the weakening of the summer upwelling. But, sargassum are considered thermal tolerant during this period because it coincides with their dormant phase.</t>
  </si>
  <si>
    <t>Weak</t>
  </si>
  <si>
    <t xml:space="preserve">Unkown </t>
  </si>
  <si>
    <t>3) Commercial Harvest was suggested because it was linked to declines in rainbow smelt in Lake Erie, but the same commercial harves never occurred in the study lake (Lake Superior). Harvest was ruled out.</t>
  </si>
  <si>
    <t>Habitat explains patterns of population decline for an invasive crayfish</t>
  </si>
  <si>
    <t>Larson et al</t>
  </si>
  <si>
    <t>Boom-Bust (1 Lake) &amp; Boom-Bust (Bust Not Sust. 2 Lakes) &amp;  Overshoot (6 Lakes) &amp; 1 Established (1 Lake)</t>
  </si>
  <si>
    <t xml:space="preserve">1) Rock substrate is the preferable shelter from predation and cannabilism for rusty crayfish, but they can use macrophytes as well. </t>
  </si>
  <si>
    <t>3) Presented data show a strong association between lakes that have declines like these lakes and lakes that had no declines and the prevalence of substrate. This is strong evidence because there was multiple lakes so larger sample size</t>
  </si>
  <si>
    <t>2) Rusty crayfish reduce diversity and abundance of macrophytes so if rock substrate is absent then rusty crayfish might alter the macrophyte habitat that is unfavorable for future generations</t>
  </si>
  <si>
    <t>4) Crayfish disease dynamics have not been explored as an alternate explanation, changes in resource dynamics have not been explored, nor has demographic work been explored.</t>
  </si>
  <si>
    <t>Is the comb jelly really to blame for it all? Mnemiopsis leidyi and the ecological concerns about the Caspian Sea</t>
  </si>
  <si>
    <t>Bilio &amp; Niermann</t>
  </si>
  <si>
    <t>2) Declines in M. leidyi correlate with the subsequent invasion B. ovata, and the process of B. ovata controlling jellies was consistent with how they control jellies in their native range.</t>
  </si>
  <si>
    <t>3) In near shore areas the calculated capablility at desity ratio were possible for control, but at higher densities of M Leidyi in open ocean calculations seem to suggest that control is unlikely.</t>
  </si>
  <si>
    <t>1) Crash of anchovie due to overfishing coincided with boom of M. leidyi, little to no native predators of jellies</t>
  </si>
  <si>
    <t>Persistent ve ephemeral invasions: 8.5 years of zooplankton community dynamics in the Columbia River</t>
  </si>
  <si>
    <t>Dexter et al</t>
  </si>
  <si>
    <t>Poor</t>
  </si>
  <si>
    <t>1) B. Coregoni was detected from one individual in 2006, grew to a peak abundance of 247 individuals/ m 3 then rapidly declined in 2011. Yearly timing of the peak abundance through the time period was highly variable.</t>
  </si>
  <si>
    <t>2)  P. forbesi was consistently abundant at 3558/ cubic meter had a peak in 2010 of 10,725 per cubic meter and small number in 2013 per cubic meter</t>
  </si>
  <si>
    <t xml:space="preserve">3) most peaks in abundance occurred in the autumn when temperatures are high and chlorophyll conditions are low. </t>
  </si>
  <si>
    <t>4) postive correlation with chloriphyll a concentrations and peak abundance of B. coregoni, but a negative correlation with chloraphyll a concentrations and peak abundance of P. forbesi.</t>
  </si>
  <si>
    <t>5) the timing of a previous invasive species P. inopinus that went extinct (narrative) was consistent with the establishment of P. forbesi.</t>
  </si>
  <si>
    <t>6) B coregoni has a native congener B. longirostris.</t>
  </si>
  <si>
    <t>Severe and rapid population declines in exotic birds</t>
  </si>
  <si>
    <t>Aagaard &amp; Lockwood</t>
  </si>
  <si>
    <t>Boom-Bust (all categories)</t>
  </si>
  <si>
    <t>NA</t>
  </si>
  <si>
    <t>1) No evaluation of the potential mechanisms were made, the goal of the paper was to describe declines in non-native birds.</t>
  </si>
  <si>
    <t>Trophic cascades triggered by overfishing reveal possible mechanisms of ecosystem regime shifts</t>
  </si>
  <si>
    <t>Daskalov et al</t>
  </si>
  <si>
    <t>1) no evaluation of the potential mechanisms were made, the goal of the paper was to assess trophic cascades and ecosystem regime shifts</t>
  </si>
  <si>
    <t>Invasion impacts and dynamics of a European-wide introduced species</t>
  </si>
  <si>
    <t>Huabrock et al</t>
  </si>
  <si>
    <t>1) No evaluation of the potential mechanisms were made, the goal of the paper was to describe a new cumulative abundance curve and its potential for predicting a species impacts</t>
  </si>
  <si>
    <t>2) latittude and runooff depth had negative and postive relationship, respectivly, to the rate of change of abundance which might inform boom-bust</t>
  </si>
  <si>
    <t>3) decreasing water temperature and depths, and increasing competive interactions combined to drive declines in P. antipodarum population decline in another study that was cited</t>
  </si>
  <si>
    <t>The contribution of cold winter temperatures to the 2003 alewife population collapse in Lake Huron</t>
  </si>
  <si>
    <t>Dunlop &amp; Riley</t>
  </si>
  <si>
    <t>1) Alewife are the primary prey of chinook salmon, and Alewife were in decline</t>
  </si>
  <si>
    <t>2) GAM model results showed that at high chinook salmon abundance the relationship between chinook salmon and alewife abundance is negative</t>
  </si>
  <si>
    <t>Species</t>
  </si>
  <si>
    <t>Sargassum muticum</t>
  </si>
  <si>
    <t>Osmerus mordax</t>
  </si>
  <si>
    <t>Faxonius rusticus</t>
  </si>
  <si>
    <t>Mnemiopsis leidyi</t>
  </si>
  <si>
    <t>Pseudodiaptomus forbesi</t>
  </si>
  <si>
    <t>Aurelia aurita</t>
  </si>
  <si>
    <t>Potamopyrgus antipodarum</t>
  </si>
  <si>
    <t>Oncorhnchus tshawytscha</t>
  </si>
  <si>
    <t>Stong*</t>
  </si>
  <si>
    <t>Intermediate*</t>
  </si>
  <si>
    <t>Per Capita Effects of Non-native Mayan Cichlids (Cichlasoma urophthalmus; Gunther) on Native Fish in Estuarine Southern Everglades</t>
  </si>
  <si>
    <t>Harrison et al</t>
  </si>
  <si>
    <t>Mayaheros urophthalmus</t>
  </si>
  <si>
    <t>1) After cold fronts, most sites saw declines in mayan cichlid numbers, the rest of the discussion and results were about the impacts of mayan cichlids on native communities.</t>
  </si>
  <si>
    <t>The paper has little to no evidence, no direct empirical work testing hypothesized mechanism is presented or cited, if a mechanisms is suggested the mechanism is purely conjecture/hypothesis with no or little data in the manuscript or cited in discussion supporting the conjecture/hypothesis.  No demographic work.</t>
  </si>
  <si>
    <t>The paper has strong evidence, empirical work testing hypothesized mechanism is presented or cited and is expreimentally obtained, observational evidence includes models with drivers and response data that were apriori selected,alternative mechanisms have also been evaluated and ruled out, the suggested mechanisms is very likely the mechanism. Evidence can be demographically tied.</t>
  </si>
  <si>
    <t>The paper  has evidence, empirical work testing hypothesized mechanism is presented or cited but is mostely correlary alternative mechanisms have also been evaluated and ruled out, may have some post hoc modelling with suggested mechansims. The mechanism presented is likely. Mechanism is not demographically tied.</t>
  </si>
  <si>
    <t>Boom means bust: interactons between El Nino Southern Oscillation (ENSO), rainfall and the processes threatening mammal species in arid australia</t>
  </si>
  <si>
    <t>Letnic &amp; Dickman</t>
  </si>
  <si>
    <t>Felis catus</t>
  </si>
  <si>
    <t>1) Abunances of cats increase 1-2 years after heavy rainfall years which coincides with large increases in small mammal abundance's</t>
  </si>
  <si>
    <t>The Budgerigar in Florida: Rise and Fall of an Exotic Psittacid</t>
  </si>
  <si>
    <t>Pranty</t>
  </si>
  <si>
    <t>Melopsittacus undulatus</t>
  </si>
  <si>
    <t>1) Four extremely severe cold fronts occurred in 1977, 1983, 1986 and 1989, but there were no declines in abundance after the 3 of the 4 freezes, Cold alone is not a common driver of bird mortality, but lack of food from sudden freezes and snow cover are more common. the native habitat in australia udergos cold front of similar magnitude so they should be relatively resistant to the cold</t>
  </si>
  <si>
    <t>2) House sparrows compete with the Budgerigars for nesting boxes and  Humans provided nesting boxes for which budgerigars used a lot of. Redevelopment from retirement communities to commercial could reduce the numbers of nesting boxes. Author thought this was the most likely cause</t>
  </si>
  <si>
    <t>3) Little evidence for disease</t>
  </si>
  <si>
    <t>Poor*</t>
  </si>
  <si>
    <t xml:space="preserve">Morris et al. </t>
  </si>
  <si>
    <t>Using long-term datasets to study exotic plant invasions on rangelands in the western United States</t>
  </si>
  <si>
    <t>Salsola tragus</t>
  </si>
  <si>
    <t>1)It was inferred that since Lehmann lovegrass was shown to increase due to above average rainfall and then a subsequent drought that this was a similar mechanism for this species.</t>
  </si>
  <si>
    <t>Environmental thresholds for pulsed resources</t>
  </si>
  <si>
    <t>Contrasting invasion histories and effects of three non-native fishes observed with long-term monitoring data</t>
  </si>
  <si>
    <t>Pintar et al.</t>
  </si>
  <si>
    <t>Hemichromis letourneuxi</t>
  </si>
  <si>
    <t>2) Paper was more focused on impacts that non-natives have on native species</t>
  </si>
  <si>
    <t>Environmental thresholds for ambient abiotic conditions</t>
  </si>
  <si>
    <t>Rangifer tarandus</t>
  </si>
  <si>
    <t>1) There are no predators large enough to hunt reindeer in the islans</t>
  </si>
  <si>
    <t>2) From behavioral observations and food preference experiments, taller shrub-like lichens are a key winter foods supply for the reindeer, a combination of cold winters that crusted ice inhibiting reindeer to access the lichens and large numbers that depleted the lichens, die offs were seen during the winter.</t>
  </si>
  <si>
    <t>Stong</t>
  </si>
  <si>
    <r>
      <t>The Rise and Fall of a Reindeer Herd; Climate, snow, ice, crashes, and declines in populations of reindeer and caribou (</t>
    </r>
    <r>
      <rPr>
        <i/>
        <sz val="11"/>
        <color theme="1"/>
        <rFont val="Aptos Narrow"/>
        <family val="2"/>
        <scheme val="minor"/>
      </rPr>
      <t>Rangifer tarandus</t>
    </r>
    <r>
      <rPr>
        <sz val="11"/>
        <color theme="1"/>
        <rFont val="Aptos Narrow"/>
        <family val="2"/>
        <scheme val="minor"/>
      </rPr>
      <t xml:space="preserve"> L.)</t>
    </r>
  </si>
  <si>
    <t>Scheffer; Tyler</t>
  </si>
  <si>
    <t>Boom-Bust, Overshoot</t>
  </si>
  <si>
    <t xml:space="preserve">Resource depletion </t>
  </si>
  <si>
    <t>3) a small lack of sampling, corresponded with a period of military occupation, so poaching could have happened but the decline in popualtion size was already underway, Harvest was small portion in other locations</t>
  </si>
  <si>
    <t xml:space="preserve">4) Natural mortality  was large, and causes of death were deemed starvation, but these were sample relative to the large declines, emigration was responsible for one locaiton but can't be in many of the introduced location which were islands, most often it was young and old that died </t>
  </si>
  <si>
    <t>5) Total snowfall appeared to correlate with declines when presented, but there were counter examples, suggesting that there is a synergy between high numbers and high snow</t>
  </si>
  <si>
    <t>Invasive species unfavorabley alters ecosystem for future generations*</t>
  </si>
  <si>
    <t>Number of Studies</t>
  </si>
  <si>
    <t>Strong</t>
  </si>
  <si>
    <t>Intermediate</t>
  </si>
  <si>
    <t>Environmental Thresholds</t>
  </si>
  <si>
    <t>Total</t>
  </si>
  <si>
    <t>-</t>
  </si>
  <si>
    <t>Invasive species unfavorably alter ecosystem for future generations</t>
  </si>
  <si>
    <t>Not Specified</t>
  </si>
  <si>
    <t>1) Cold water and drought events preceeded the boom-bust, and large non-native fishes experienced declines during those cold water conditions and drought conditions</t>
  </si>
  <si>
    <t>Acridotheres tristis; Passer domesticus; Garrulax canorus; Lonchura punctulata; Amandava amandava; Sicalis flaveola; Sturnella neglecta; Crithagra mozambica; Geopelia striata; Spilopelia chinensis; Psittacula krameri; Brotogeris versicolurus</t>
  </si>
  <si>
    <t># of time series</t>
  </si>
  <si>
    <t># of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</si>
</sst>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i/>
      <sz val="11"/>
      <color theme="1"/>
      <name val="Aptos Narrow"/>
      <family val="2"/>
      <scheme val="minor"/>
    </font>
    <font>
      <b/>
      <sz val="11"/>
      <color theme="1"/>
      <name val="Aptos Narrow"/>
      <family val="2"/>
      <scheme val="minor"/>
    </font>
  </fonts>
  <fills count="2">
    <fill>
      <patternFill patternType="none"/>
    </fill>
    <fill>
      <patternFill patternType="gray125"/>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dotted">
        <color theme="0" tint="-0.499984740745262"/>
      </bottom>
      <diagonal/>
    </border>
  </borders>
  <cellStyleXfs count="1">
    <xf numFmtId="0" fontId="0" fillId="0" borderId="0"/>
  </cellStyleXfs>
  <cellXfs count="32">
    <xf numFmtId="0" fontId="0" fillId="0" borderId="0" xfId="0"/>
    <xf numFmtId="0" fontId="0" fillId="0" borderId="0" xfId="0" applyAlignment="1">
      <alignment wrapText="1"/>
    </xf>
    <xf numFmtId="0" fontId="0" fillId="0" borderId="1" xfId="0" applyBorder="1"/>
    <xf numFmtId="0" fontId="0" fillId="0" borderId="0" xfId="0" applyAlignment="1">
      <alignment horizontal="left" vertical="center" wrapText="1"/>
    </xf>
    <xf numFmtId="0" fontId="0" fillId="0" borderId="0" xfId="0" applyAlignment="1">
      <alignment vertical="center" wrapText="1"/>
    </xf>
    <xf numFmtId="0" fontId="1" fillId="0" borderId="0" xfId="0" applyFont="1" applyAlignment="1">
      <alignment vertical="center"/>
    </xf>
    <xf numFmtId="0" fontId="0" fillId="0" borderId="0" xfId="0" applyAlignment="1">
      <alignment vertical="center"/>
    </xf>
    <xf numFmtId="0" fontId="1" fillId="0" borderId="0" xfId="0" applyFont="1" applyAlignment="1">
      <alignment vertical="center" wrapText="1"/>
    </xf>
    <xf numFmtId="0" fontId="0" fillId="0" borderId="0" xfId="0" applyAlignment="1">
      <alignment horizontal="center" vertical="center"/>
    </xf>
    <xf numFmtId="0" fontId="0" fillId="0" borderId="3" xfId="0" applyBorder="1" applyAlignment="1">
      <alignment vertical="center"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0" fillId="0" borderId="1" xfId="0" applyBorder="1" applyAlignment="1">
      <alignment horizontal="left"/>
    </xf>
    <xf numFmtId="0" fontId="0" fillId="0" borderId="0" xfId="0" applyAlignment="1">
      <alignment horizontal="left"/>
    </xf>
    <xf numFmtId="0" fontId="2" fillId="0" borderId="3" xfId="0" applyFont="1" applyBorder="1" applyAlignment="1">
      <alignment horizontal="left"/>
    </xf>
    <xf numFmtId="0" fontId="2" fillId="0" borderId="3"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center" vertical="top"/>
    </xf>
    <xf numFmtId="0" fontId="0" fillId="0" borderId="2" xfId="0" applyBorder="1" applyAlignment="1">
      <alignment horizontal="left" vertical="top" wrapText="1"/>
    </xf>
    <xf numFmtId="0" fontId="0" fillId="0" borderId="2" xfId="0" applyBorder="1" applyAlignment="1">
      <alignment horizontal="center" vertical="top"/>
    </xf>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2" xfId="0" applyBorder="1" applyAlignment="1">
      <alignment horizontal="left" vertical="center"/>
    </xf>
    <xf numFmtId="0" fontId="0" fillId="0" borderId="4" xfId="0"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vertical="center" wrapText="1"/>
    </xf>
    <xf numFmtId="0" fontId="0" fillId="0" borderId="4" xfId="0" applyBorder="1" applyAlignment="1">
      <alignment vertical="center" wrapText="1"/>
    </xf>
    <xf numFmtId="0" fontId="0" fillId="0" borderId="0" xfId="0"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7C7A6-AD1E-46EB-A369-C01ACCF5542F}">
  <dimension ref="A1:B5"/>
  <sheetViews>
    <sheetView workbookViewId="0">
      <selection activeCell="B6" sqref="B6"/>
    </sheetView>
  </sheetViews>
  <sheetFormatPr defaultRowHeight="14.4" x14ac:dyDescent="0.3"/>
  <cols>
    <col min="1" max="1" width="21.5546875" bestFit="1" customWidth="1"/>
    <col min="2" max="2" width="92.21875" customWidth="1"/>
  </cols>
  <sheetData>
    <row r="1" spans="1:2" x14ac:dyDescent="0.3">
      <c r="A1" t="s">
        <v>7</v>
      </c>
      <c r="B1" t="s">
        <v>8</v>
      </c>
    </row>
    <row r="2" spans="1:2" ht="43.2" x14ac:dyDescent="0.3">
      <c r="A2" t="s">
        <v>9</v>
      </c>
      <c r="B2" s="1" t="s">
        <v>82</v>
      </c>
    </row>
    <row r="3" spans="1:2" ht="43.2" x14ac:dyDescent="0.3">
      <c r="A3" t="s">
        <v>10</v>
      </c>
      <c r="B3" s="1" t="s">
        <v>16</v>
      </c>
    </row>
    <row r="4" spans="1:2" ht="58.8" customHeight="1" x14ac:dyDescent="0.3">
      <c r="A4" t="s">
        <v>11</v>
      </c>
      <c r="B4" s="1" t="s">
        <v>84</v>
      </c>
    </row>
    <row r="5" spans="1:2" ht="57.6" x14ac:dyDescent="0.3">
      <c r="A5" t="s">
        <v>12</v>
      </c>
      <c r="B5" s="1"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18FAA-193E-4ADD-BAC0-7E416D9C0956}">
  <dimension ref="A1:I41"/>
  <sheetViews>
    <sheetView tabSelected="1" topLeftCell="A8" zoomScale="70" zoomScaleNormal="70" workbookViewId="0">
      <selection activeCell="E31" sqref="E31:E33"/>
    </sheetView>
  </sheetViews>
  <sheetFormatPr defaultRowHeight="14.4" x14ac:dyDescent="0.3"/>
  <cols>
    <col min="1" max="1" width="23.5546875" customWidth="1"/>
    <col min="2" max="2" width="13.33203125" bestFit="1" customWidth="1"/>
    <col min="3" max="3" width="16.21875" customWidth="1"/>
    <col min="4" max="6" width="24.109375" customWidth="1"/>
    <col min="7" max="7" width="17" customWidth="1"/>
    <col min="8" max="8" width="18.77734375" customWidth="1"/>
    <col min="9" max="9" width="67.6640625" customWidth="1"/>
    <col min="10" max="10" width="21.5546875" bestFit="1" customWidth="1"/>
    <col min="11" max="11" width="57.77734375" customWidth="1"/>
  </cols>
  <sheetData>
    <row r="1" spans="1:9" x14ac:dyDescent="0.3">
      <c r="A1" s="2" t="s">
        <v>0</v>
      </c>
      <c r="B1" s="2" t="s">
        <v>4</v>
      </c>
      <c r="C1" s="2" t="s">
        <v>67</v>
      </c>
      <c r="D1" s="2" t="s">
        <v>13</v>
      </c>
      <c r="E1" s="2" t="s">
        <v>128</v>
      </c>
      <c r="F1" s="2" t="s">
        <v>129</v>
      </c>
      <c r="G1" s="2" t="s">
        <v>2</v>
      </c>
      <c r="H1" s="2" t="s">
        <v>3</v>
      </c>
      <c r="I1" s="2" t="s">
        <v>1</v>
      </c>
    </row>
    <row r="2" spans="1:9" x14ac:dyDescent="0.3">
      <c r="A2" s="22" t="s">
        <v>5</v>
      </c>
      <c r="B2" s="21" t="s">
        <v>6</v>
      </c>
      <c r="C2" s="23" t="s">
        <v>68</v>
      </c>
      <c r="D2" s="21" t="s">
        <v>14</v>
      </c>
      <c r="E2" s="30">
        <v>1</v>
      </c>
      <c r="F2" s="30">
        <v>1</v>
      </c>
      <c r="G2" s="24" t="s">
        <v>27</v>
      </c>
      <c r="H2" s="24" t="s">
        <v>26</v>
      </c>
      <c r="I2" t="s">
        <v>15</v>
      </c>
    </row>
    <row r="3" spans="1:9" ht="72" x14ac:dyDescent="0.3">
      <c r="A3" s="22"/>
      <c r="B3" s="21"/>
      <c r="C3" s="23"/>
      <c r="D3" s="21"/>
      <c r="E3" s="29"/>
      <c r="F3" s="29"/>
      <c r="G3" s="21"/>
      <c r="H3" s="21"/>
      <c r="I3" s="1" t="s">
        <v>25</v>
      </c>
    </row>
    <row r="4" spans="1:9" ht="43.2" x14ac:dyDescent="0.3">
      <c r="A4" s="22" t="s">
        <v>17</v>
      </c>
      <c r="B4" s="21" t="s">
        <v>18</v>
      </c>
      <c r="C4" s="23" t="s">
        <v>69</v>
      </c>
      <c r="D4" s="22" t="s">
        <v>24</v>
      </c>
      <c r="E4" s="31">
        <v>1</v>
      </c>
      <c r="F4" s="31">
        <v>1</v>
      </c>
      <c r="G4" s="22" t="s">
        <v>19</v>
      </c>
      <c r="H4" s="22" t="s">
        <v>76</v>
      </c>
      <c r="I4" s="1" t="s">
        <v>20</v>
      </c>
    </row>
    <row r="5" spans="1:9" ht="43.2" x14ac:dyDescent="0.3">
      <c r="A5" s="22"/>
      <c r="B5" s="21"/>
      <c r="C5" s="23"/>
      <c r="D5" s="22"/>
      <c r="E5" s="31"/>
      <c r="F5" s="31"/>
      <c r="G5" s="22"/>
      <c r="H5" s="22"/>
      <c r="I5" s="1" t="s">
        <v>21</v>
      </c>
    </row>
    <row r="6" spans="1:9" ht="43.2" x14ac:dyDescent="0.3">
      <c r="A6" s="22"/>
      <c r="B6" s="21"/>
      <c r="C6" s="23"/>
      <c r="D6" s="22"/>
      <c r="E6" s="31"/>
      <c r="F6" s="31"/>
      <c r="G6" s="22"/>
      <c r="H6" s="22"/>
      <c r="I6" s="1" t="s">
        <v>28</v>
      </c>
    </row>
    <row r="7" spans="1:9" x14ac:dyDescent="0.3">
      <c r="A7" s="22"/>
      <c r="B7" s="21"/>
      <c r="C7" s="23"/>
      <c r="D7" s="22"/>
      <c r="E7" s="31"/>
      <c r="F7" s="31"/>
      <c r="G7" s="22"/>
      <c r="H7" s="22"/>
      <c r="I7" s="1" t="s">
        <v>22</v>
      </c>
    </row>
    <row r="8" spans="1:9" ht="28.8" x14ac:dyDescent="0.3">
      <c r="A8" s="22"/>
      <c r="B8" s="21"/>
      <c r="C8" s="23"/>
      <c r="D8" s="22"/>
      <c r="E8" s="31"/>
      <c r="F8" s="31"/>
      <c r="G8" s="22"/>
      <c r="H8" s="22"/>
      <c r="I8" s="1" t="s">
        <v>23</v>
      </c>
    </row>
    <row r="9" spans="1:9" ht="28.8" customHeight="1" x14ac:dyDescent="0.3">
      <c r="A9" s="22" t="s">
        <v>29</v>
      </c>
      <c r="B9" s="21" t="s">
        <v>30</v>
      </c>
      <c r="C9" s="23" t="s">
        <v>70</v>
      </c>
      <c r="D9" s="22" t="s">
        <v>31</v>
      </c>
      <c r="E9" s="31">
        <v>1</v>
      </c>
      <c r="F9" s="31">
        <v>1</v>
      </c>
      <c r="G9" s="22" t="s">
        <v>117</v>
      </c>
      <c r="H9" s="21" t="s">
        <v>77</v>
      </c>
      <c r="I9" s="1" t="s">
        <v>32</v>
      </c>
    </row>
    <row r="10" spans="1:9" ht="43.2" x14ac:dyDescent="0.3">
      <c r="A10" s="22"/>
      <c r="B10" s="21"/>
      <c r="C10" s="23"/>
      <c r="D10" s="22"/>
      <c r="E10" s="31"/>
      <c r="F10" s="31"/>
      <c r="G10" s="22"/>
      <c r="H10" s="21"/>
      <c r="I10" s="1" t="s">
        <v>34</v>
      </c>
    </row>
    <row r="11" spans="1:9" ht="45" customHeight="1" x14ac:dyDescent="0.3">
      <c r="A11" s="22"/>
      <c r="B11" s="21"/>
      <c r="C11" s="23"/>
      <c r="D11" s="22"/>
      <c r="E11" s="31"/>
      <c r="F11" s="31"/>
      <c r="G11" s="22"/>
      <c r="H11" s="21"/>
      <c r="I11" s="1" t="s">
        <v>33</v>
      </c>
    </row>
    <row r="12" spans="1:9" ht="43.2" x14ac:dyDescent="0.3">
      <c r="A12" s="22"/>
      <c r="B12" s="21"/>
      <c r="C12" s="23"/>
      <c r="D12" s="22"/>
      <c r="E12" s="31"/>
      <c r="F12" s="31"/>
      <c r="G12" s="22"/>
      <c r="H12" s="21"/>
      <c r="I12" s="1" t="s">
        <v>35</v>
      </c>
    </row>
    <row r="13" spans="1:9" ht="28.8" customHeight="1" x14ac:dyDescent="0.3">
      <c r="A13" s="22" t="s">
        <v>36</v>
      </c>
      <c r="B13" s="22" t="s">
        <v>37</v>
      </c>
      <c r="C13" s="23" t="s">
        <v>71</v>
      </c>
      <c r="D13" s="21" t="s">
        <v>14</v>
      </c>
      <c r="E13" s="29">
        <v>1</v>
      </c>
      <c r="F13" s="29">
        <v>1</v>
      </c>
      <c r="G13" s="22" t="s">
        <v>19</v>
      </c>
      <c r="H13" s="21" t="s">
        <v>43</v>
      </c>
      <c r="I13" s="1" t="s">
        <v>40</v>
      </c>
    </row>
    <row r="14" spans="1:9" ht="43.2" x14ac:dyDescent="0.3">
      <c r="A14" s="22"/>
      <c r="B14" s="22"/>
      <c r="C14" s="23"/>
      <c r="D14" s="21"/>
      <c r="E14" s="29"/>
      <c r="F14" s="29"/>
      <c r="G14" s="22"/>
      <c r="H14" s="21"/>
      <c r="I14" s="1" t="s">
        <v>38</v>
      </c>
    </row>
    <row r="15" spans="1:9" ht="43.2" x14ac:dyDescent="0.3">
      <c r="A15" s="22"/>
      <c r="B15" s="22"/>
      <c r="C15" s="23"/>
      <c r="D15" s="21"/>
      <c r="E15" s="29"/>
      <c r="F15" s="29"/>
      <c r="G15" s="22"/>
      <c r="H15" s="21"/>
      <c r="I15" s="1" t="s">
        <v>39</v>
      </c>
    </row>
    <row r="16" spans="1:9" ht="43.2" x14ac:dyDescent="0.3">
      <c r="A16" s="22" t="s">
        <v>41</v>
      </c>
      <c r="B16" s="21" t="s">
        <v>42</v>
      </c>
      <c r="C16" s="23" t="s">
        <v>72</v>
      </c>
      <c r="D16" s="21" t="s">
        <v>14</v>
      </c>
      <c r="E16" s="29">
        <v>1</v>
      </c>
      <c r="F16" s="29">
        <v>1</v>
      </c>
      <c r="G16" s="22" t="s">
        <v>19</v>
      </c>
      <c r="H16" s="21" t="s">
        <v>43</v>
      </c>
      <c r="I16" s="1" t="s">
        <v>44</v>
      </c>
    </row>
    <row r="17" spans="1:9" ht="28.8" x14ac:dyDescent="0.3">
      <c r="A17" s="22"/>
      <c r="B17" s="21"/>
      <c r="C17" s="23"/>
      <c r="D17" s="21"/>
      <c r="E17" s="29"/>
      <c r="F17" s="29"/>
      <c r="G17" s="22"/>
      <c r="H17" s="21"/>
      <c r="I17" s="1" t="s">
        <v>45</v>
      </c>
    </row>
    <row r="18" spans="1:9" ht="28.8" x14ac:dyDescent="0.3">
      <c r="A18" s="22"/>
      <c r="B18" s="21"/>
      <c r="C18" s="23"/>
      <c r="D18" s="21"/>
      <c r="E18" s="29"/>
      <c r="F18" s="29"/>
      <c r="G18" s="22"/>
      <c r="H18" s="21"/>
      <c r="I18" s="1" t="s">
        <v>46</v>
      </c>
    </row>
    <row r="19" spans="1:9" ht="43.2" x14ac:dyDescent="0.3">
      <c r="A19" s="22"/>
      <c r="B19" s="21"/>
      <c r="C19" s="23"/>
      <c r="D19" s="21"/>
      <c r="E19" s="29"/>
      <c r="F19" s="29"/>
      <c r="G19" s="22"/>
      <c r="H19" s="21"/>
      <c r="I19" s="1" t="s">
        <v>47</v>
      </c>
    </row>
    <row r="20" spans="1:9" ht="28.8" x14ac:dyDescent="0.3">
      <c r="A20" s="22"/>
      <c r="B20" s="21"/>
      <c r="C20" s="23"/>
      <c r="D20" s="21"/>
      <c r="E20" s="29"/>
      <c r="F20" s="29"/>
      <c r="G20" s="22"/>
      <c r="H20" s="21"/>
      <c r="I20" s="1" t="s">
        <v>48</v>
      </c>
    </row>
    <row r="21" spans="1:9" x14ac:dyDescent="0.3">
      <c r="A21" s="22"/>
      <c r="B21" s="21"/>
      <c r="C21" s="23"/>
      <c r="D21" s="21"/>
      <c r="E21" s="29"/>
      <c r="F21" s="29"/>
      <c r="G21" s="22"/>
      <c r="H21" s="21"/>
      <c r="I21" s="1" t="s">
        <v>49</v>
      </c>
    </row>
    <row r="22" spans="1:9" ht="28.8" x14ac:dyDescent="0.3">
      <c r="A22" s="3" t="s">
        <v>50</v>
      </c>
      <c r="B22" s="3" t="s">
        <v>51</v>
      </c>
      <c r="C22" s="5" t="s">
        <v>127</v>
      </c>
      <c r="D22" s="6" t="s">
        <v>52</v>
      </c>
      <c r="E22" s="8">
        <v>12</v>
      </c>
      <c r="F22" s="8">
        <v>12</v>
      </c>
      <c r="G22" s="6" t="s">
        <v>27</v>
      </c>
      <c r="H22" s="6" t="s">
        <v>53</v>
      </c>
      <c r="I22" s="1" t="s">
        <v>54</v>
      </c>
    </row>
    <row r="23" spans="1:9" ht="27.6" customHeight="1" x14ac:dyDescent="0.3">
      <c r="A23" s="1" t="s">
        <v>55</v>
      </c>
      <c r="B23" s="6" t="s">
        <v>56</v>
      </c>
      <c r="C23" s="5" t="s">
        <v>73</v>
      </c>
      <c r="D23" s="6" t="s">
        <v>14</v>
      </c>
      <c r="E23" s="8">
        <v>1</v>
      </c>
      <c r="F23" s="8">
        <v>1</v>
      </c>
      <c r="G23" s="6" t="s">
        <v>27</v>
      </c>
      <c r="H23" s="6" t="s">
        <v>53</v>
      </c>
      <c r="I23" s="1" t="s">
        <v>57</v>
      </c>
    </row>
    <row r="24" spans="1:9" ht="43.2" x14ac:dyDescent="0.3">
      <c r="A24" s="22" t="s">
        <v>58</v>
      </c>
      <c r="B24" s="22" t="s">
        <v>59</v>
      </c>
      <c r="C24" s="23" t="s">
        <v>74</v>
      </c>
      <c r="D24" s="22" t="s">
        <v>52</v>
      </c>
      <c r="E24" s="31">
        <v>9</v>
      </c>
      <c r="F24" s="31">
        <v>1</v>
      </c>
      <c r="G24" s="22" t="s">
        <v>19</v>
      </c>
      <c r="H24" s="21" t="s">
        <v>43</v>
      </c>
      <c r="I24" s="1" t="s">
        <v>60</v>
      </c>
    </row>
    <row r="25" spans="1:9" ht="28.8" x14ac:dyDescent="0.3">
      <c r="A25" s="22"/>
      <c r="B25" s="22"/>
      <c r="C25" s="23"/>
      <c r="D25" s="22"/>
      <c r="E25" s="31"/>
      <c r="F25" s="31"/>
      <c r="G25" s="22"/>
      <c r="H25" s="21"/>
      <c r="I25" s="1" t="s">
        <v>61</v>
      </c>
    </row>
    <row r="26" spans="1:9" ht="43.2" x14ac:dyDescent="0.3">
      <c r="A26" s="22"/>
      <c r="B26" s="22"/>
      <c r="C26" s="23"/>
      <c r="D26" s="22"/>
      <c r="E26" s="31"/>
      <c r="F26" s="31"/>
      <c r="G26" s="22"/>
      <c r="H26" s="21"/>
      <c r="I26" s="1" t="s">
        <v>62</v>
      </c>
    </row>
    <row r="27" spans="1:9" x14ac:dyDescent="0.3">
      <c r="A27" s="22" t="s">
        <v>63</v>
      </c>
      <c r="B27" s="21" t="s">
        <v>64</v>
      </c>
      <c r="C27" s="23" t="s">
        <v>75</v>
      </c>
      <c r="D27" s="21" t="s">
        <v>14</v>
      </c>
      <c r="E27" s="29">
        <v>1</v>
      </c>
      <c r="F27" s="29">
        <v>1</v>
      </c>
      <c r="G27" s="21" t="s">
        <v>27</v>
      </c>
      <c r="H27" s="21" t="s">
        <v>26</v>
      </c>
      <c r="I27" s="1" t="s">
        <v>65</v>
      </c>
    </row>
    <row r="28" spans="1:9" ht="65.400000000000006" customHeight="1" x14ac:dyDescent="0.3">
      <c r="A28" s="22"/>
      <c r="B28" s="21"/>
      <c r="C28" s="23"/>
      <c r="D28" s="21"/>
      <c r="E28" s="29"/>
      <c r="F28" s="29"/>
      <c r="G28" s="21"/>
      <c r="H28" s="21"/>
      <c r="I28" s="1" t="s">
        <v>66</v>
      </c>
    </row>
    <row r="29" spans="1:9" ht="104.4" customHeight="1" x14ac:dyDescent="0.3">
      <c r="A29" s="1" t="s">
        <v>78</v>
      </c>
      <c r="B29" s="6" t="s">
        <v>79</v>
      </c>
      <c r="C29" s="7" t="s">
        <v>80</v>
      </c>
      <c r="D29" s="6" t="s">
        <v>14</v>
      </c>
      <c r="E29" s="8">
        <v>1</v>
      </c>
      <c r="F29" s="8">
        <v>1</v>
      </c>
      <c r="G29" s="3" t="s">
        <v>105</v>
      </c>
      <c r="H29" s="6" t="s">
        <v>43</v>
      </c>
      <c r="I29" s="4" t="s">
        <v>81</v>
      </c>
    </row>
    <row r="30" spans="1:9" ht="118.8" customHeight="1" x14ac:dyDescent="0.3">
      <c r="A30" s="1" t="s">
        <v>85</v>
      </c>
      <c r="B30" s="6" t="s">
        <v>86</v>
      </c>
      <c r="C30" s="5" t="s">
        <v>87</v>
      </c>
      <c r="D30" s="6" t="s">
        <v>14</v>
      </c>
      <c r="E30" s="8">
        <v>1</v>
      </c>
      <c r="F30" s="8">
        <v>1</v>
      </c>
      <c r="G30" s="4" t="s">
        <v>100</v>
      </c>
      <c r="H30" s="6" t="s">
        <v>43</v>
      </c>
      <c r="I30" s="4" t="s">
        <v>88</v>
      </c>
    </row>
    <row r="31" spans="1:9" ht="72.599999999999994" customHeight="1" x14ac:dyDescent="0.3">
      <c r="A31" s="22" t="s">
        <v>89</v>
      </c>
      <c r="B31" s="21" t="s">
        <v>90</v>
      </c>
      <c r="C31" s="23" t="s">
        <v>91</v>
      </c>
      <c r="D31" s="21" t="s">
        <v>14</v>
      </c>
      <c r="E31" s="29">
        <v>1</v>
      </c>
      <c r="F31" s="29">
        <v>1</v>
      </c>
      <c r="G31" s="22" t="s">
        <v>19</v>
      </c>
      <c r="H31" s="22" t="s">
        <v>95</v>
      </c>
      <c r="I31" s="1" t="s">
        <v>92</v>
      </c>
    </row>
    <row r="32" spans="1:9" ht="57.6" x14ac:dyDescent="0.3">
      <c r="A32" s="22"/>
      <c r="B32" s="21"/>
      <c r="C32" s="23"/>
      <c r="D32" s="21"/>
      <c r="E32" s="29"/>
      <c r="F32" s="29"/>
      <c r="G32" s="22"/>
      <c r="H32" s="22"/>
      <c r="I32" s="1" t="s">
        <v>93</v>
      </c>
    </row>
    <row r="33" spans="1:9" x14ac:dyDescent="0.3">
      <c r="A33" s="22"/>
      <c r="B33" s="21"/>
      <c r="C33" s="23"/>
      <c r="D33" s="21"/>
      <c r="E33" s="29"/>
      <c r="F33" s="29"/>
      <c r="G33" s="22"/>
      <c r="H33" s="22"/>
      <c r="I33" s="1" t="s">
        <v>94</v>
      </c>
    </row>
    <row r="34" spans="1:9" ht="90" customHeight="1" x14ac:dyDescent="0.3">
      <c r="A34" s="4" t="s">
        <v>97</v>
      </c>
      <c r="B34" s="6" t="s">
        <v>96</v>
      </c>
      <c r="C34" s="7" t="s">
        <v>98</v>
      </c>
      <c r="D34" s="6" t="s">
        <v>14</v>
      </c>
      <c r="E34" s="8">
        <v>1</v>
      </c>
      <c r="F34" s="8">
        <v>1</v>
      </c>
      <c r="G34" s="4" t="s">
        <v>100</v>
      </c>
      <c r="H34" s="4" t="s">
        <v>26</v>
      </c>
      <c r="I34" s="1" t="s">
        <v>99</v>
      </c>
    </row>
    <row r="35" spans="1:9" ht="38.4" customHeight="1" x14ac:dyDescent="0.3">
      <c r="A35" s="22" t="s">
        <v>101</v>
      </c>
      <c r="B35" s="21" t="s">
        <v>102</v>
      </c>
      <c r="C35" s="23" t="s">
        <v>103</v>
      </c>
      <c r="D35" s="21" t="s">
        <v>14</v>
      </c>
      <c r="E35" s="29">
        <v>2</v>
      </c>
      <c r="F35" s="29">
        <v>1</v>
      </c>
      <c r="G35" s="22" t="s">
        <v>19</v>
      </c>
      <c r="H35" s="21" t="s">
        <v>26</v>
      </c>
      <c r="I35" s="4" t="s">
        <v>126</v>
      </c>
    </row>
    <row r="36" spans="1:9" ht="49.8" customHeight="1" x14ac:dyDescent="0.3">
      <c r="A36" s="22"/>
      <c r="B36" s="21"/>
      <c r="C36" s="23"/>
      <c r="D36" s="21"/>
      <c r="E36" s="29"/>
      <c r="F36" s="29"/>
      <c r="G36" s="22"/>
      <c r="H36" s="21"/>
      <c r="I36" s="4" t="s">
        <v>104</v>
      </c>
    </row>
    <row r="37" spans="1:9" ht="14.4" customHeight="1" x14ac:dyDescent="0.3">
      <c r="A37" s="22" t="s">
        <v>110</v>
      </c>
      <c r="B37" s="21" t="s">
        <v>111</v>
      </c>
      <c r="C37" s="23" t="s">
        <v>106</v>
      </c>
      <c r="D37" s="21" t="s">
        <v>112</v>
      </c>
      <c r="E37" s="29">
        <v>2</v>
      </c>
      <c r="F37" s="29">
        <v>1</v>
      </c>
      <c r="G37" s="22" t="s">
        <v>113</v>
      </c>
      <c r="H37" s="21" t="s">
        <v>109</v>
      </c>
      <c r="I37" s="1" t="s">
        <v>107</v>
      </c>
    </row>
    <row r="38" spans="1:9" ht="57.6" x14ac:dyDescent="0.3">
      <c r="A38" s="22"/>
      <c r="B38" s="21"/>
      <c r="C38" s="23"/>
      <c r="D38" s="21"/>
      <c r="E38" s="29"/>
      <c r="F38" s="29"/>
      <c r="G38" s="22"/>
      <c r="H38" s="21"/>
      <c r="I38" s="1" t="s">
        <v>108</v>
      </c>
    </row>
    <row r="39" spans="1:9" ht="43.2" x14ac:dyDescent="0.3">
      <c r="A39" s="22"/>
      <c r="B39" s="21"/>
      <c r="C39" s="23"/>
      <c r="D39" s="21"/>
      <c r="E39" s="29"/>
      <c r="F39" s="29"/>
      <c r="G39" s="22"/>
      <c r="H39" s="21"/>
      <c r="I39" s="1" t="s">
        <v>114</v>
      </c>
    </row>
    <row r="40" spans="1:9" ht="57.6" x14ac:dyDescent="0.3">
      <c r="A40" s="22"/>
      <c r="B40" s="21"/>
      <c r="C40" s="23"/>
      <c r="D40" s="21"/>
      <c r="E40" s="29"/>
      <c r="F40" s="29"/>
      <c r="G40" s="22"/>
      <c r="H40" s="21"/>
      <c r="I40" s="1" t="s">
        <v>115</v>
      </c>
    </row>
    <row r="41" spans="1:9" ht="43.2" x14ac:dyDescent="0.3">
      <c r="A41" s="22"/>
      <c r="B41" s="21"/>
      <c r="C41" s="23"/>
      <c r="D41" s="21"/>
      <c r="E41" s="29"/>
      <c r="F41" s="29"/>
      <c r="G41" s="22"/>
      <c r="H41" s="21"/>
      <c r="I41" s="1" t="s">
        <v>116</v>
      </c>
    </row>
  </sheetData>
  <mergeCells count="80">
    <mergeCell ref="E35:E36"/>
    <mergeCell ref="F35:F36"/>
    <mergeCell ref="E37:E41"/>
    <mergeCell ref="F37:F41"/>
    <mergeCell ref="E24:E26"/>
    <mergeCell ref="F24:F26"/>
    <mergeCell ref="E27:E28"/>
    <mergeCell ref="F27:F28"/>
    <mergeCell ref="E31:E33"/>
    <mergeCell ref="F31:F33"/>
    <mergeCell ref="H2:H3"/>
    <mergeCell ref="H4:H8"/>
    <mergeCell ref="H9:H12"/>
    <mergeCell ref="H13:H15"/>
    <mergeCell ref="H16:H21"/>
    <mergeCell ref="A4:A8"/>
    <mergeCell ref="B4:B8"/>
    <mergeCell ref="C4:C8"/>
    <mergeCell ref="D4:D8"/>
    <mergeCell ref="G4:G8"/>
    <mergeCell ref="E4:E8"/>
    <mergeCell ref="F4:F8"/>
    <mergeCell ref="A2:A3"/>
    <mergeCell ref="B2:B3"/>
    <mergeCell ref="C2:C3"/>
    <mergeCell ref="D2:D3"/>
    <mergeCell ref="G2:G3"/>
    <mergeCell ref="E2:E3"/>
    <mergeCell ref="F2:F3"/>
    <mergeCell ref="A13:A15"/>
    <mergeCell ref="B13:B15"/>
    <mergeCell ref="C13:C15"/>
    <mergeCell ref="D13:D15"/>
    <mergeCell ref="G13:G15"/>
    <mergeCell ref="E13:E15"/>
    <mergeCell ref="F13:F15"/>
    <mergeCell ref="G9:G12"/>
    <mergeCell ref="D9:D12"/>
    <mergeCell ref="C9:C12"/>
    <mergeCell ref="B9:B12"/>
    <mergeCell ref="A9:A12"/>
    <mergeCell ref="E9:E12"/>
    <mergeCell ref="F9:F12"/>
    <mergeCell ref="H31:H33"/>
    <mergeCell ref="A16:A21"/>
    <mergeCell ref="B16:B21"/>
    <mergeCell ref="C16:C21"/>
    <mergeCell ref="D16:D21"/>
    <mergeCell ref="G16:G21"/>
    <mergeCell ref="G24:G26"/>
    <mergeCell ref="D24:D26"/>
    <mergeCell ref="C24:C26"/>
    <mergeCell ref="A27:A28"/>
    <mergeCell ref="B27:B28"/>
    <mergeCell ref="C27:C28"/>
    <mergeCell ref="D27:D28"/>
    <mergeCell ref="G27:G28"/>
    <mergeCell ref="E16:E21"/>
    <mergeCell ref="F16:F21"/>
    <mergeCell ref="A37:A41"/>
    <mergeCell ref="D35:D36"/>
    <mergeCell ref="G35:G36"/>
    <mergeCell ref="H35:H36"/>
    <mergeCell ref="B24:B26"/>
    <mergeCell ref="A24:A26"/>
    <mergeCell ref="A35:A36"/>
    <mergeCell ref="B35:B36"/>
    <mergeCell ref="C35:C36"/>
    <mergeCell ref="H24:H26"/>
    <mergeCell ref="H27:H28"/>
    <mergeCell ref="A31:A33"/>
    <mergeCell ref="B31:B33"/>
    <mergeCell ref="C31:C33"/>
    <mergeCell ref="D31:D33"/>
    <mergeCell ref="G31:G33"/>
    <mergeCell ref="H37:H41"/>
    <mergeCell ref="G37:G41"/>
    <mergeCell ref="D37:D41"/>
    <mergeCell ref="C37:C41"/>
    <mergeCell ref="B37:B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17AF2-F675-49FF-B120-470F5A4D23AB}">
  <dimension ref="A1:F22"/>
  <sheetViews>
    <sheetView workbookViewId="0">
      <selection activeCell="A22" sqref="A22"/>
    </sheetView>
  </sheetViews>
  <sheetFormatPr defaultRowHeight="14.4" x14ac:dyDescent="0.3"/>
  <cols>
    <col min="1" max="1" width="34.44140625" customWidth="1"/>
    <col min="2" max="2" width="16" style="14" bestFit="1" customWidth="1"/>
    <col min="3" max="3" width="16.88671875" bestFit="1" customWidth="1"/>
    <col min="4" max="4" width="16.21875" customWidth="1"/>
    <col min="5" max="5" width="16.5546875" bestFit="1" customWidth="1"/>
  </cols>
  <sheetData>
    <row r="1" spans="1:6" x14ac:dyDescent="0.3">
      <c r="A1" s="2" t="s">
        <v>2</v>
      </c>
      <c r="B1" s="13" t="s">
        <v>3</v>
      </c>
      <c r="C1" s="2" t="s">
        <v>118</v>
      </c>
    </row>
    <row r="2" spans="1:6" x14ac:dyDescent="0.3">
      <c r="A2" s="26" t="s">
        <v>19</v>
      </c>
      <c r="B2" s="19" t="s">
        <v>119</v>
      </c>
      <c r="C2" s="20">
        <v>1</v>
      </c>
      <c r="D2" s="11"/>
      <c r="E2" s="8"/>
      <c r="F2" s="4"/>
    </row>
    <row r="3" spans="1:6" x14ac:dyDescent="0.3">
      <c r="A3" s="22"/>
      <c r="B3" s="10" t="s">
        <v>120</v>
      </c>
      <c r="C3" s="12" t="s">
        <v>123</v>
      </c>
      <c r="F3" s="4"/>
    </row>
    <row r="4" spans="1:6" x14ac:dyDescent="0.3">
      <c r="A4" s="22"/>
      <c r="B4" s="10" t="s">
        <v>43</v>
      </c>
      <c r="C4" s="12">
        <v>4</v>
      </c>
      <c r="F4" s="4"/>
    </row>
    <row r="5" spans="1:6" x14ac:dyDescent="0.3">
      <c r="A5" s="22"/>
      <c r="B5" s="10" t="s">
        <v>26</v>
      </c>
      <c r="C5" s="8">
        <v>1</v>
      </c>
      <c r="F5" s="4"/>
    </row>
    <row r="6" spans="1:6" x14ac:dyDescent="0.3">
      <c r="A6" s="25"/>
      <c r="B6" s="17" t="s">
        <v>122</v>
      </c>
      <c r="C6" s="18">
        <f>SUM(C2:C5)</f>
        <v>6</v>
      </c>
      <c r="F6" s="4"/>
    </row>
    <row r="7" spans="1:6" x14ac:dyDescent="0.3">
      <c r="A7" s="27" t="s">
        <v>113</v>
      </c>
      <c r="B7" s="11" t="s">
        <v>119</v>
      </c>
      <c r="C7" s="8">
        <v>1</v>
      </c>
      <c r="F7" s="4"/>
    </row>
    <row r="8" spans="1:6" x14ac:dyDescent="0.3">
      <c r="A8" s="27"/>
      <c r="B8" s="10" t="s">
        <v>120</v>
      </c>
      <c r="C8" s="12" t="s">
        <v>123</v>
      </c>
      <c r="F8" s="4"/>
    </row>
    <row r="9" spans="1:6" x14ac:dyDescent="0.3">
      <c r="A9" s="27"/>
      <c r="B9" s="10" t="s">
        <v>43</v>
      </c>
      <c r="C9" s="12" t="s">
        <v>123</v>
      </c>
      <c r="F9" s="4"/>
    </row>
    <row r="10" spans="1:6" x14ac:dyDescent="0.3">
      <c r="A10" s="27"/>
      <c r="B10" s="10" t="s">
        <v>26</v>
      </c>
      <c r="C10" s="8" t="s">
        <v>123</v>
      </c>
    </row>
    <row r="11" spans="1:6" x14ac:dyDescent="0.3">
      <c r="A11" s="28"/>
      <c r="B11" s="17" t="s">
        <v>122</v>
      </c>
      <c r="C11" s="18">
        <f>SUM(C7:C10)</f>
        <v>1</v>
      </c>
    </row>
    <row r="12" spans="1:6" x14ac:dyDescent="0.3">
      <c r="A12" s="22" t="s">
        <v>124</v>
      </c>
      <c r="B12" s="11" t="s">
        <v>119</v>
      </c>
      <c r="C12" s="8" t="s">
        <v>123</v>
      </c>
    </row>
    <row r="13" spans="1:6" x14ac:dyDescent="0.3">
      <c r="A13" s="22"/>
      <c r="B13" s="10" t="s">
        <v>120</v>
      </c>
      <c r="C13" s="12">
        <v>1</v>
      </c>
    </row>
    <row r="14" spans="1:6" x14ac:dyDescent="0.3">
      <c r="A14" s="22"/>
      <c r="B14" s="10" t="s">
        <v>43</v>
      </c>
      <c r="C14" s="12" t="s">
        <v>123</v>
      </c>
    </row>
    <row r="15" spans="1:6" x14ac:dyDescent="0.3">
      <c r="A15" s="22"/>
      <c r="B15" s="10" t="s">
        <v>26</v>
      </c>
      <c r="C15" s="8" t="s">
        <v>123</v>
      </c>
      <c r="D15" s="4"/>
      <c r="E15" s="8"/>
    </row>
    <row r="16" spans="1:6" x14ac:dyDescent="0.3">
      <c r="A16" s="25"/>
      <c r="B16" s="17" t="s">
        <v>122</v>
      </c>
      <c r="C16" s="18">
        <f>SUM(C12:C15)</f>
        <v>1</v>
      </c>
      <c r="D16" s="10"/>
      <c r="E16" s="8"/>
    </row>
    <row r="17" spans="1:5" x14ac:dyDescent="0.3">
      <c r="A17" s="22" t="s">
        <v>121</v>
      </c>
      <c r="B17" s="11" t="s">
        <v>119</v>
      </c>
      <c r="C17" s="8" t="s">
        <v>123</v>
      </c>
      <c r="D17" s="10"/>
      <c r="E17" s="8"/>
    </row>
    <row r="18" spans="1:5" x14ac:dyDescent="0.3">
      <c r="A18" s="22"/>
      <c r="B18" s="10" t="s">
        <v>120</v>
      </c>
      <c r="C18" s="12" t="s">
        <v>123</v>
      </c>
      <c r="D18" s="6"/>
      <c r="E18" s="8"/>
    </row>
    <row r="19" spans="1:5" x14ac:dyDescent="0.3">
      <c r="A19" s="22"/>
      <c r="B19" s="10" t="s">
        <v>43</v>
      </c>
      <c r="C19" s="12">
        <v>4</v>
      </c>
      <c r="D19" s="10"/>
      <c r="E19" s="8"/>
    </row>
    <row r="20" spans="1:5" x14ac:dyDescent="0.3">
      <c r="A20" s="22"/>
      <c r="B20" s="10" t="s">
        <v>26</v>
      </c>
      <c r="C20" s="8">
        <v>1</v>
      </c>
      <c r="D20" s="6"/>
      <c r="E20" s="8"/>
    </row>
    <row r="21" spans="1:5" x14ac:dyDescent="0.3">
      <c r="A21" s="25"/>
      <c r="B21" s="17" t="s">
        <v>122</v>
      </c>
      <c r="C21" s="18">
        <f>SUM(C17:C20)</f>
        <v>5</v>
      </c>
      <c r="D21" s="6"/>
      <c r="E21" s="8"/>
    </row>
    <row r="22" spans="1:5" x14ac:dyDescent="0.3">
      <c r="A22" s="9" t="s">
        <v>125</v>
      </c>
      <c r="B22" s="15" t="s">
        <v>122</v>
      </c>
      <c r="C22" s="16">
        <v>4</v>
      </c>
    </row>
  </sheetData>
  <mergeCells count="4">
    <mergeCell ref="A12:A16"/>
    <mergeCell ref="A17:A21"/>
    <mergeCell ref="A2:A6"/>
    <mergeCell ref="A7: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Mechanism_Supplementary</vt:lpstr>
      <vt:lpstr>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Barrus</dc:creator>
  <cp:lastModifiedBy>Nathan Barrus</cp:lastModifiedBy>
  <dcterms:created xsi:type="dcterms:W3CDTF">2025-07-17T14:24:02Z</dcterms:created>
  <dcterms:modified xsi:type="dcterms:W3CDTF">2026-01-12T17:02:18Z</dcterms:modified>
</cp:coreProperties>
</file>